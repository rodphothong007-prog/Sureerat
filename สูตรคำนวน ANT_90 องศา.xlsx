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reerat\Desktop\Project\"/>
    </mc:Choice>
  </mc:AlternateContent>
  <xr:revisionPtr revIDLastSave="0" documentId="13_ncr:1_{ED88A711-6B8F-4BDE-8168-163DC042ADD4}" xr6:coauthVersionLast="47" xr6:coauthVersionMax="47" xr10:uidLastSave="{00000000-0000-0000-0000-000000000000}"/>
  <bookViews>
    <workbookView xWindow="-108" yWindow="-108" windowWidth="23256" windowHeight="12456" tabRatio="843" xr2:uid="{5D0D4F63-D4D4-4C8C-977D-010A277C868F}"/>
  </bookViews>
  <sheets>
    <sheet name="90องศา" sheetId="21" r:id="rId1"/>
  </sheets>
  <definedNames>
    <definedName name="_xlnm.Print_Area" localSheetId="0">'90องศา'!$A$1:$U$34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9" i="21" l="1"/>
  <c r="J30" i="21" s="1"/>
  <c r="J31" i="21" s="1"/>
  <c r="J22" i="21"/>
  <c r="J23" i="21" s="1"/>
  <c r="J24" i="21" s="1"/>
  <c r="G21" i="21"/>
  <c r="G22" i="21" s="1"/>
  <c r="G23" i="21" s="1"/>
  <c r="J21" i="21"/>
  <c r="G8" i="21" l="1"/>
  <c r="G11" i="21" l="1"/>
  <c r="G9" i="21"/>
  <c r="C29" i="21" l="1"/>
  <c r="J8" i="21"/>
  <c r="G13" i="21" s="1"/>
  <c r="G16" i="21" s="1"/>
  <c r="C22" i="21" s="1"/>
  <c r="J28" i="21" l="1"/>
  <c r="C31" i="21" l="1"/>
  <c r="C32" i="21" l="1"/>
  <c r="C30" i="21" l="1"/>
</calcChain>
</file>

<file path=xl/sharedStrings.xml><?xml version="1.0" encoding="utf-8"?>
<sst xmlns="http://schemas.openxmlformats.org/spreadsheetml/2006/main" count="58" uniqueCount="46">
  <si>
    <t>ความยาวเม้าติ้ง</t>
  </si>
  <si>
    <t>เติมตัวเลขความยาวล่อฟ้า</t>
  </si>
  <si>
    <t>ความยาวเม้ายึด Omni</t>
  </si>
  <si>
    <t>ความสูงเสา</t>
  </si>
  <si>
    <t>รายการคำนวณ</t>
  </si>
  <si>
    <t>เสาที่ตรงข้ามล่อฟ้า</t>
  </si>
  <si>
    <t>C</t>
  </si>
  <si>
    <t>ค่าสูตร</t>
  </si>
  <si>
    <t>เสาต้นที่ A</t>
  </si>
  <si>
    <t>เสาต้นที่ C</t>
  </si>
  <si>
    <t>เสาต้นที่ B</t>
  </si>
  <si>
    <t>เสาต้นที่ D</t>
  </si>
  <si>
    <t>?</t>
  </si>
  <si>
    <t>A</t>
  </si>
  <si>
    <t>B</t>
  </si>
  <si>
    <t>D</t>
  </si>
  <si>
    <t>เสาที่มีล่อฟ้า</t>
  </si>
  <si>
    <t>ระยะห่างแท่งล่อฟ้ากับสายอากาศ</t>
  </si>
  <si>
    <t>90 องศา ขา B และ D</t>
  </si>
  <si>
    <t>ระยะ(m)</t>
  </si>
  <si>
    <r>
      <rPr>
        <b/>
        <sz val="18"/>
        <color rgb="FFFF00FF"/>
        <rFont val="TH Sarabun New"/>
        <family val="2"/>
      </rPr>
      <t xml:space="preserve">(1)-(2)   </t>
    </r>
    <r>
      <rPr>
        <sz val="18"/>
        <color theme="1"/>
        <rFont val="TH Sarabun New"/>
        <family val="2"/>
      </rPr>
      <t>=</t>
    </r>
  </si>
  <si>
    <t>รายการคำนวณระดับความสูงในการติดตั้ง ANT เมื่อขาจับยึดทำมุม 90 องศา กับแนวอ้างอิง</t>
  </si>
  <si>
    <t xml:space="preserve">cos A = </t>
  </si>
  <si>
    <t xml:space="preserve"> ; A = 90 องศา</t>
  </si>
  <si>
    <t>ความยาวสายอากาศตามการใช้งาน</t>
  </si>
  <si>
    <t>มุม 45 = 1 , มุม 30 = 0.578</t>
  </si>
  <si>
    <t>ค่า tan (มุมป้องกัน) = TAN(P)</t>
  </si>
  <si>
    <t>ระยะล่อฟ้าไปหาสายอากาศขา B, D (ค่า C )</t>
  </si>
  <si>
    <t>ความยาวสายอากาศ Omni</t>
  </si>
  <si>
    <t>ความยาวล่อฟ้า</t>
  </si>
  <si>
    <t>ไม่ใช้ เพราะระยะ Ant เข้าใกล้โครงสร้างเสา</t>
  </si>
  <si>
    <t>ระยะล่อฟ้าไปหาสายอากาศขา B</t>
  </si>
  <si>
    <t>ระยะล่อฟ้าไปหาสายอากาศขา D</t>
  </si>
  <si>
    <t>ความสูงสายอากาศที่ติดบนเสา</t>
  </si>
  <si>
    <t>ความสูงเสา - (C)</t>
  </si>
  <si>
    <t>ความสูงเสา - (B)</t>
  </si>
  <si>
    <t>[ mounting + (Omni * TAN(P)) ] / TAN(P)</t>
  </si>
  <si>
    <t xml:space="preserve">(A) - (ล่อฟ้า) </t>
  </si>
  <si>
    <t>ระดับความสูงที่ต้องลดลงจากยอดเสา A</t>
  </si>
  <si>
    <t>[ (A) + (Omni * TAN(P)) ] / TAN(P)</t>
  </si>
  <si>
    <t xml:space="preserve">(B) - (ล่อฟ้า) </t>
  </si>
  <si>
    <t>ระดับความสูงที่ต้องลดลงจากยอดเสา B</t>
  </si>
  <si>
    <t>ระดับความสูงที่ต้องลดลงจากยอดเสา C</t>
  </si>
  <si>
    <t>ระดับความสูงที่ต้องลดลงจากยอดเสา D</t>
  </si>
  <si>
    <t>ค่าเป็นลบ คือ สามารถเพิ่มระยะขึ้นจากยอดเสาตามค่าที่คำนวนได้</t>
  </si>
  <si>
    <t>ค่าเป็นบวก คือ ต้องลดระยะลงจากยอดเสาตามค่าที่คำนวนได้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</si>
</sst>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7" formatCode="0.000"/>
  </numFmts>
  <fonts count="18" x14ac:knownFonts="1">
    <font>
      <sz val="11"/>
      <color theme="1"/>
      <name val="Tahoma"/>
      <family val="2"/>
      <charset val="222"/>
      <scheme val="minor"/>
    </font>
    <font>
      <u/>
      <sz val="11"/>
      <color theme="10"/>
      <name val="Tahoma"/>
      <family val="2"/>
      <charset val="222"/>
      <scheme val="minor"/>
    </font>
    <font>
      <sz val="16"/>
      <color theme="1"/>
      <name val="TH Sarabun New"/>
      <family val="2"/>
    </font>
    <font>
      <u/>
      <sz val="16"/>
      <color theme="10"/>
      <name val="TH Sarabun New"/>
      <family val="2"/>
    </font>
    <font>
      <sz val="18"/>
      <color theme="1"/>
      <name val="TH Sarabun New"/>
      <family val="2"/>
    </font>
    <font>
      <sz val="20"/>
      <color theme="1"/>
      <name val="TH Sarabun New"/>
      <family val="2"/>
    </font>
    <font>
      <b/>
      <i/>
      <u/>
      <sz val="18"/>
      <color theme="1"/>
      <name val="TH Sarabun New"/>
      <family val="2"/>
    </font>
    <font>
      <b/>
      <sz val="18"/>
      <color theme="1"/>
      <name val="TH Sarabun New"/>
      <family val="2"/>
    </font>
    <font>
      <sz val="18"/>
      <color rgb="FFFF0000"/>
      <name val="TH Sarabun New"/>
      <family val="2"/>
    </font>
    <font>
      <b/>
      <sz val="18"/>
      <name val="TH Sarabun New"/>
      <family val="2"/>
    </font>
    <font>
      <sz val="18"/>
      <name val="TH Sarabun New"/>
      <family val="2"/>
    </font>
    <font>
      <b/>
      <sz val="18"/>
      <color rgb="FFFF00FF"/>
      <name val="TH Sarabun New"/>
      <family val="2"/>
    </font>
    <font>
      <b/>
      <sz val="18"/>
      <color rgb="FFFF0000"/>
      <name val="TH Sarabun New"/>
      <family val="2"/>
    </font>
    <font>
      <b/>
      <u/>
      <sz val="22"/>
      <color theme="1"/>
      <name val="TH Sarabun New"/>
      <family val="2"/>
    </font>
    <font>
      <b/>
      <sz val="26"/>
      <name val="TH Sarabun New"/>
      <family val="2"/>
    </font>
    <font>
      <b/>
      <sz val="14"/>
      <color theme="1"/>
      <name val="TH Sarabun New"/>
      <family val="2"/>
    </font>
    <font>
      <b/>
      <sz val="20"/>
      <color theme="1"/>
      <name val="TH Sarabun New"/>
      <family val="2"/>
    </font>
    <font>
      <b/>
      <i/>
      <sz val="20"/>
      <name val="TH Sarabun New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50"/>
        <bgColor indexed="64"/>
      </patternFill>
    </fill>
  </fills>
  <borders count="4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rgb="FFFF0000"/>
      </left>
      <right style="medium">
        <color rgb="FFFF0000"/>
      </right>
      <top style="medium">
        <color rgb="FFFF0000"/>
      </top>
      <bottom style="medium">
        <color rgb="FFFF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16">
    <xf numFmtId="0" fontId="0" fillId="0" borderId="0" xfId="0"/>
    <xf numFmtId="0" fontId="2" fillId="0" borderId="0" xfId="0" applyFont="1"/>
    <xf numFmtId="0" fontId="2" fillId="0" borderId="0" xfId="0" applyFont="1" applyAlignment="1">
      <alignment vertical="center"/>
    </xf>
    <xf numFmtId="0" fontId="3" fillId="0" borderId="0" xfId="1" applyFont="1"/>
    <xf numFmtId="0" fontId="4" fillId="0" borderId="0" xfId="0" applyFont="1"/>
    <xf numFmtId="0" fontId="5" fillId="0" borderId="0" xfId="0" applyFont="1"/>
    <xf numFmtId="0" fontId="5" fillId="0" borderId="0" xfId="0" applyFont="1" applyAlignment="1">
      <alignment vertical="center"/>
    </xf>
    <xf numFmtId="0" fontId="4" fillId="0" borderId="2" xfId="0" applyFont="1" applyBorder="1" applyAlignment="1">
      <alignment horizontal="center"/>
    </xf>
    <xf numFmtId="0" fontId="4" fillId="3" borderId="2" xfId="0" applyFont="1" applyFill="1" applyBorder="1" applyAlignment="1">
      <alignment horizontal="center"/>
    </xf>
    <xf numFmtId="0" fontId="4" fillId="3" borderId="1" xfId="0" applyFont="1" applyFill="1" applyBorder="1"/>
    <xf numFmtId="2" fontId="10" fillId="3" borderId="1" xfId="0" applyNumberFormat="1" applyFont="1" applyFill="1" applyBorder="1"/>
    <xf numFmtId="0" fontId="4" fillId="3" borderId="4" xfId="0" applyFont="1" applyFill="1" applyBorder="1" applyAlignment="1">
      <alignment horizontal="center"/>
    </xf>
    <xf numFmtId="0" fontId="4" fillId="3" borderId="5" xfId="0" applyFont="1" applyFill="1" applyBorder="1"/>
    <xf numFmtId="2" fontId="10" fillId="3" borderId="5" xfId="0" applyNumberFormat="1" applyFont="1" applyFill="1" applyBorder="1"/>
    <xf numFmtId="0" fontId="4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6" fillId="0" borderId="0" xfId="0" applyFont="1" applyAlignment="1">
      <alignment horizontal="left" vertical="center"/>
    </xf>
    <xf numFmtId="0" fontId="4" fillId="0" borderId="0" xfId="0" applyFont="1" applyAlignment="1">
      <alignment vertical="center"/>
    </xf>
    <xf numFmtId="0" fontId="8" fillId="0" borderId="0" xfId="0" applyFont="1" applyAlignment="1">
      <alignment horizontal="center"/>
    </xf>
    <xf numFmtId="2" fontId="8" fillId="0" borderId="0" xfId="0" applyNumberFormat="1" applyFont="1" applyAlignment="1">
      <alignment horizontal="center"/>
    </xf>
    <xf numFmtId="0" fontId="7" fillId="0" borderId="1" xfId="0" applyFont="1" applyBorder="1" applyAlignment="1">
      <alignment horizontal="center"/>
    </xf>
    <xf numFmtId="0" fontId="7" fillId="0" borderId="1" xfId="0" applyFont="1" applyBorder="1" applyAlignment="1">
      <alignment horizontal="right"/>
    </xf>
    <xf numFmtId="0" fontId="7" fillId="0" borderId="1" xfId="0" applyFont="1" applyBorder="1"/>
    <xf numFmtId="0" fontId="4" fillId="0" borderId="9" xfId="0" applyFont="1" applyBorder="1" applyAlignment="1">
      <alignment horizontal="center"/>
    </xf>
    <xf numFmtId="2" fontId="4" fillId="0" borderId="13" xfId="0" applyNumberFormat="1" applyFont="1" applyBorder="1"/>
    <xf numFmtId="2" fontId="4" fillId="4" borderId="14" xfId="0" applyNumberFormat="1" applyFont="1" applyFill="1" applyBorder="1"/>
    <xf numFmtId="0" fontId="4" fillId="0" borderId="6" xfId="0" applyFont="1" applyBorder="1" applyAlignment="1">
      <alignment horizontal="center"/>
    </xf>
    <xf numFmtId="0" fontId="4" fillId="0" borderId="11" xfId="0" applyFont="1" applyBorder="1" applyAlignment="1">
      <alignment horizontal="center"/>
    </xf>
    <xf numFmtId="0" fontId="13" fillId="6" borderId="1" xfId="0" applyFont="1" applyFill="1" applyBorder="1" applyAlignment="1">
      <alignment horizontal="center" vertical="center"/>
    </xf>
    <xf numFmtId="0" fontId="8" fillId="8" borderId="1" xfId="0" applyFont="1" applyFill="1" applyBorder="1" applyAlignment="1">
      <alignment horizontal="center"/>
    </xf>
    <xf numFmtId="0" fontId="8" fillId="8" borderId="1" xfId="0" applyFont="1" applyFill="1" applyBorder="1" applyAlignment="1" applyProtection="1">
      <alignment horizontal="center"/>
      <protection locked="0"/>
    </xf>
    <xf numFmtId="0" fontId="4" fillId="0" borderId="10" xfId="0" applyFont="1" applyBorder="1" applyAlignment="1">
      <alignment horizont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right"/>
    </xf>
    <xf numFmtId="0" fontId="15" fillId="0" borderId="0" xfId="0" applyFont="1"/>
    <xf numFmtId="2" fontId="4" fillId="4" borderId="17" xfId="0" applyNumberFormat="1" applyFont="1" applyFill="1" applyBorder="1"/>
    <xf numFmtId="0" fontId="4" fillId="0" borderId="20" xfId="0" applyFont="1" applyBorder="1" applyAlignment="1">
      <alignment horizontal="center"/>
    </xf>
    <xf numFmtId="0" fontId="4" fillId="0" borderId="21" xfId="0" applyFont="1" applyBorder="1" applyAlignment="1">
      <alignment horizontal="center"/>
    </xf>
    <xf numFmtId="0" fontId="8" fillId="5" borderId="22" xfId="0" applyFont="1" applyFill="1" applyBorder="1"/>
    <xf numFmtId="0" fontId="4" fillId="5" borderId="23" xfId="0" applyFont="1" applyFill="1" applyBorder="1"/>
    <xf numFmtId="0" fontId="8" fillId="5" borderId="23" xfId="0" applyFont="1" applyFill="1" applyBorder="1"/>
    <xf numFmtId="0" fontId="8" fillId="5" borderId="24" xfId="0" applyFont="1" applyFill="1" applyBorder="1"/>
    <xf numFmtId="2" fontId="4" fillId="0" borderId="17" xfId="0" applyNumberFormat="1" applyFont="1" applyBorder="1"/>
    <xf numFmtId="0" fontId="10" fillId="0" borderId="2" xfId="0" applyFont="1" applyBorder="1" applyAlignment="1">
      <alignment horizontal="center"/>
    </xf>
    <xf numFmtId="2" fontId="4" fillId="10" borderId="8" xfId="0" applyNumberFormat="1" applyFont="1" applyFill="1" applyBorder="1"/>
    <xf numFmtId="0" fontId="12" fillId="8" borderId="23" xfId="0" applyFont="1" applyFill="1" applyBorder="1" applyAlignment="1">
      <alignment horizontal="center"/>
    </xf>
    <xf numFmtId="0" fontId="2" fillId="8" borderId="23" xfId="0" applyFont="1" applyFill="1" applyBorder="1"/>
    <xf numFmtId="0" fontId="2" fillId="8" borderId="24" xfId="0" applyFont="1" applyFill="1" applyBorder="1"/>
    <xf numFmtId="2" fontId="4" fillId="10" borderId="16" xfId="0" applyNumberFormat="1" applyFont="1" applyFill="1" applyBorder="1"/>
    <xf numFmtId="0" fontId="4" fillId="8" borderId="23" xfId="0" applyFont="1" applyFill="1" applyBorder="1"/>
    <xf numFmtId="0" fontId="8" fillId="8" borderId="24" xfId="0" applyFont="1" applyFill="1" applyBorder="1"/>
    <xf numFmtId="0" fontId="4" fillId="0" borderId="26" xfId="0" applyFont="1" applyBorder="1" applyAlignment="1">
      <alignment horizontal="center"/>
    </xf>
    <xf numFmtId="0" fontId="4" fillId="0" borderId="12" xfId="0" applyFont="1" applyBorder="1" applyAlignment="1">
      <alignment horizontal="center"/>
    </xf>
    <xf numFmtId="0" fontId="12" fillId="8" borderId="27" xfId="0" applyFont="1" applyFill="1" applyBorder="1" applyAlignment="1">
      <alignment horizontal="center"/>
    </xf>
    <xf numFmtId="0" fontId="4" fillId="0" borderId="8" xfId="0" applyFont="1" applyBorder="1" applyAlignment="1">
      <alignment horizontal="center" vertical="center"/>
    </xf>
    <xf numFmtId="0" fontId="16" fillId="0" borderId="8" xfId="0" applyFont="1" applyBorder="1" applyAlignment="1">
      <alignment horizontal="center" vertical="center"/>
    </xf>
    <xf numFmtId="0" fontId="8" fillId="5" borderId="8" xfId="0" applyFont="1" applyFill="1" applyBorder="1"/>
    <xf numFmtId="0" fontId="8" fillId="8" borderId="8" xfId="0" applyFont="1" applyFill="1" applyBorder="1"/>
    <xf numFmtId="0" fontId="2" fillId="8" borderId="8" xfId="0" applyFont="1" applyFill="1" applyBorder="1"/>
    <xf numFmtId="0" fontId="4" fillId="0" borderId="16" xfId="0" applyFont="1" applyBorder="1" applyAlignment="1">
      <alignment vertical="center"/>
    </xf>
    <xf numFmtId="0" fontId="4" fillId="0" borderId="18" xfId="0" applyFont="1" applyBorder="1"/>
    <xf numFmtId="0" fontId="4" fillId="0" borderId="9" xfId="0" applyFont="1" applyBorder="1"/>
    <xf numFmtId="0" fontId="4" fillId="3" borderId="9" xfId="0" applyFont="1" applyFill="1" applyBorder="1"/>
    <xf numFmtId="0" fontId="4" fillId="3" borderId="19" xfId="0" applyFont="1" applyFill="1" applyBorder="1"/>
    <xf numFmtId="0" fontId="4" fillId="0" borderId="28" xfId="0" applyFont="1" applyBorder="1" applyAlignment="1">
      <alignment horizontal="center"/>
    </xf>
    <xf numFmtId="0" fontId="4" fillId="0" borderId="33" xfId="0" applyFont="1" applyBorder="1" applyAlignment="1">
      <alignment horizontal="center"/>
    </xf>
    <xf numFmtId="0" fontId="4" fillId="0" borderId="15" xfId="0" applyFont="1" applyBorder="1"/>
    <xf numFmtId="0" fontId="4" fillId="5" borderId="34" xfId="0" applyFont="1" applyFill="1" applyBorder="1"/>
    <xf numFmtId="0" fontId="4" fillId="8" borderId="34" xfId="0" applyFont="1" applyFill="1" applyBorder="1"/>
    <xf numFmtId="0" fontId="2" fillId="8" borderId="34" xfId="0" applyFont="1" applyFill="1" applyBorder="1"/>
    <xf numFmtId="0" fontId="4" fillId="3" borderId="26" xfId="0" applyFont="1" applyFill="1" applyBorder="1" applyAlignment="1">
      <alignment horizontal="center"/>
    </xf>
    <xf numFmtId="0" fontId="4" fillId="3" borderId="18" xfId="0" applyFont="1" applyFill="1" applyBorder="1"/>
    <xf numFmtId="0" fontId="8" fillId="5" borderId="27" xfId="0" applyFont="1" applyFill="1" applyBorder="1"/>
    <xf numFmtId="0" fontId="12" fillId="8" borderId="1" xfId="0" applyFont="1" applyFill="1" applyBorder="1" applyAlignment="1">
      <alignment horizontal="center" vertical="center"/>
    </xf>
    <xf numFmtId="187" fontId="4" fillId="0" borderId="14" xfId="0" applyNumberFormat="1" applyFont="1" applyBorder="1"/>
    <xf numFmtId="187" fontId="12" fillId="8" borderId="7" xfId="0" applyNumberFormat="1" applyFont="1" applyFill="1" applyBorder="1" applyAlignment="1">
      <alignment horizontal="center"/>
    </xf>
    <xf numFmtId="0" fontId="10" fillId="0" borderId="9" xfId="0" applyFont="1" applyBorder="1"/>
    <xf numFmtId="0" fontId="4" fillId="0" borderId="39" xfId="0" applyFont="1" applyBorder="1"/>
    <xf numFmtId="0" fontId="4" fillId="0" borderId="20" xfId="0" applyFont="1" applyBorder="1"/>
    <xf numFmtId="0" fontId="4" fillId="0" borderId="40" xfId="0" applyFont="1" applyBorder="1"/>
    <xf numFmtId="0" fontId="10" fillId="2" borderId="23" xfId="0" applyFont="1" applyFill="1" applyBorder="1"/>
    <xf numFmtId="0" fontId="4" fillId="3" borderId="39" xfId="0" applyFont="1" applyFill="1" applyBorder="1"/>
    <xf numFmtId="2" fontId="10" fillId="3" borderId="12" xfId="0" applyNumberFormat="1" applyFont="1" applyFill="1" applyBorder="1"/>
    <xf numFmtId="0" fontId="10" fillId="2" borderId="8" xfId="0" applyFont="1" applyFill="1" applyBorder="1"/>
    <xf numFmtId="0" fontId="10" fillId="2" borderId="24" xfId="0" applyFont="1" applyFill="1" applyBorder="1"/>
    <xf numFmtId="0" fontId="7" fillId="0" borderId="9" xfId="0" applyFont="1" applyBorder="1"/>
    <xf numFmtId="1" fontId="7" fillId="0" borderId="11" xfId="0" applyNumberFormat="1" applyFont="1" applyBorder="1" applyAlignment="1">
      <alignment horizontal="center"/>
    </xf>
    <xf numFmtId="187" fontId="7" fillId="0" borderId="12" xfId="0" applyNumberFormat="1" applyFont="1" applyBorder="1" applyAlignment="1">
      <alignment horizontal="center"/>
    </xf>
    <xf numFmtId="0" fontId="7" fillId="2" borderId="22" xfId="0" applyFont="1" applyFill="1" applyBorder="1" applyAlignment="1">
      <alignment horizontal="center"/>
    </xf>
    <xf numFmtId="0" fontId="7" fillId="2" borderId="24" xfId="0" applyFont="1" applyFill="1" applyBorder="1" applyAlignment="1">
      <alignment horizontal="center"/>
    </xf>
    <xf numFmtId="0" fontId="4" fillId="0" borderId="41" xfId="0" applyFont="1" applyBorder="1"/>
    <xf numFmtId="2" fontId="10" fillId="2" borderId="22" xfId="0" applyNumberFormat="1" applyFont="1" applyFill="1" applyBorder="1"/>
    <xf numFmtId="187" fontId="12" fillId="9" borderId="42" xfId="0" applyNumberFormat="1" applyFont="1" applyFill="1" applyBorder="1"/>
    <xf numFmtId="0" fontId="4" fillId="0" borderId="9" xfId="0" applyFont="1" applyBorder="1" applyAlignment="1">
      <alignment horizontal="center" vertical="center"/>
    </xf>
    <xf numFmtId="0" fontId="7" fillId="7" borderId="36" xfId="0" applyFont="1" applyFill="1" applyBorder="1" applyAlignment="1">
      <alignment horizontal="center" vertical="center"/>
    </xf>
    <xf numFmtId="0" fontId="7" fillId="7" borderId="38" xfId="0" applyFont="1" applyFill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17" fillId="5" borderId="25" xfId="0" applyFont="1" applyFill="1" applyBorder="1" applyAlignment="1">
      <alignment horizontal="center" vertical="center"/>
    </xf>
    <xf numFmtId="0" fontId="17" fillId="5" borderId="30" xfId="0" applyFont="1" applyFill="1" applyBorder="1" applyAlignment="1">
      <alignment horizontal="center" vertical="center"/>
    </xf>
    <xf numFmtId="0" fontId="17" fillId="5" borderId="31" xfId="0" applyFont="1" applyFill="1" applyBorder="1" applyAlignment="1">
      <alignment horizontal="center" vertical="center"/>
    </xf>
    <xf numFmtId="0" fontId="17" fillId="5" borderId="32" xfId="0" applyFont="1" applyFill="1" applyBorder="1" applyAlignment="1">
      <alignment horizontal="center" vertical="center"/>
    </xf>
    <xf numFmtId="0" fontId="7" fillId="3" borderId="16" xfId="0" applyFont="1" applyFill="1" applyBorder="1" applyAlignment="1">
      <alignment horizontal="center"/>
    </xf>
    <xf numFmtId="0" fontId="7" fillId="3" borderId="35" xfId="0" applyFont="1" applyFill="1" applyBorder="1" applyAlignment="1">
      <alignment horizontal="center"/>
    </xf>
    <xf numFmtId="0" fontId="7" fillId="3" borderId="29" xfId="0" applyFont="1" applyFill="1" applyBorder="1" applyAlignment="1">
      <alignment horizontal="center"/>
    </xf>
    <xf numFmtId="0" fontId="8" fillId="0" borderId="0" xfId="0" applyFont="1" applyAlignment="1">
      <alignment horizontal="center"/>
    </xf>
    <xf numFmtId="0" fontId="8" fillId="8" borderId="1" xfId="0" applyFont="1" applyFill="1" applyBorder="1" applyAlignment="1">
      <alignment horizontal="center" vertical="center"/>
    </xf>
    <xf numFmtId="0" fontId="7" fillId="7" borderId="29" xfId="0" applyFont="1" applyFill="1" applyBorder="1" applyAlignment="1">
      <alignment horizontal="center" vertical="center"/>
    </xf>
    <xf numFmtId="0" fontId="7" fillId="7" borderId="8" xfId="0" applyFont="1" applyFill="1" applyBorder="1" applyAlignment="1">
      <alignment horizontal="center" vertical="center"/>
    </xf>
    <xf numFmtId="0" fontId="9" fillId="7" borderId="8" xfId="0" applyFont="1" applyFill="1" applyBorder="1" applyAlignment="1">
      <alignment horizontal="center" vertical="center"/>
    </xf>
    <xf numFmtId="0" fontId="14" fillId="6" borderId="8" xfId="0" applyFont="1" applyFill="1" applyBorder="1" applyAlignment="1">
      <alignment horizontal="center"/>
    </xf>
    <xf numFmtId="0" fontId="7" fillId="5" borderId="36" xfId="0" applyFont="1" applyFill="1" applyBorder="1" applyAlignment="1">
      <alignment horizontal="center" vertical="center"/>
    </xf>
    <xf numFmtId="0" fontId="7" fillId="5" borderId="37" xfId="0" applyFont="1" applyFill="1" applyBorder="1" applyAlignment="1">
      <alignment horizontal="center" vertical="center"/>
    </xf>
    <xf numFmtId="0" fontId="4" fillId="0" borderId="33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72F927"/>
      <color rgb="FFFFCCFF"/>
      <color rgb="FFFF00FF"/>
      <color rgb="FFFBFCD0"/>
      <color rgb="FFCC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339271</xdr:colOff>
      <xdr:row>7</xdr:row>
      <xdr:rowOff>52777</xdr:rowOff>
    </xdr:from>
    <xdr:ext cx="1099457" cy="33548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12A7D4CE-23A4-44EF-A088-25BD94958A67}"/>
                </a:ext>
              </a:extLst>
            </xdr:cNvPr>
            <xdr:cNvSpPr txBox="1"/>
          </xdr:nvSpPr>
          <xdr:spPr>
            <a:xfrm>
              <a:off x="7632700" y="3046348"/>
              <a:ext cx="1099457" cy="33548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 algn="r"/>
              <a14:m>
                <m:oMath xmlns:m="http://schemas.openxmlformats.org/officeDocument/2006/math">
                  <m:sSup>
                    <m:sSupPr>
                      <m:ctrlPr>
                        <a:rPr lang="th-TH" sz="1800" b="0" i="1">
                          <a:latin typeface="Cambria Math" panose="02040503050406030204" pitchFamily="18" charset="0"/>
                        </a:rPr>
                      </m:ctrlPr>
                    </m:sSupPr>
                    <m:e>
                      <m:r>
                        <a:rPr lang="th-TH" sz="1800" b="0" i="1">
                          <a:latin typeface="Cambria Math" panose="02040503050406030204" pitchFamily="18" charset="0"/>
                        </a:rPr>
                        <m:t>ค่า</m:t>
                      </m:r>
                      <m:r>
                        <a:rPr lang="en-US" sz="1800" b="0" i="1">
                          <a:latin typeface="Cambria Math" panose="02040503050406030204" pitchFamily="18" charset="0"/>
                        </a:rPr>
                        <m:t> </m:t>
                      </m:r>
                      <m:r>
                        <a:rPr lang="en-US" sz="1800" b="0" i="1">
                          <a:latin typeface="Cambria Math" panose="02040503050406030204" pitchFamily="18" charset="0"/>
                        </a:rPr>
                        <m:t>𝑎</m:t>
                      </m:r>
                    </m:e>
                    <m:sup>
                      <m:r>
                        <a:rPr lang="en-US" sz="1800" b="0" i="1">
                          <a:latin typeface="Cambria Math" panose="02040503050406030204" pitchFamily="18" charset="0"/>
                        </a:rPr>
                        <m:t>2</m:t>
                      </m:r>
                    </m:sup>
                  </m:sSup>
                </m:oMath>
              </a14:m>
              <a:r>
                <a:rPr lang="en-US" sz="1800" b="0">
                  <a:latin typeface="TH Sarabun New" panose="020B0500040200020003" pitchFamily="34" charset="-34"/>
                  <a:cs typeface="TH Sarabun New" panose="020B0500040200020003" pitchFamily="34" charset="-34"/>
                </a:rPr>
                <a:t>   a*a=</a:t>
              </a:r>
              <a:endParaRPr lang="th-TH" sz="1800" b="0">
                <a:latin typeface="TH Sarabun New" panose="020B0500040200020003" pitchFamily="34" charset="-34"/>
                <a:cs typeface="TH Sarabun New" panose="020B0500040200020003" pitchFamily="34" charset="-34"/>
              </a:endParaRPr>
            </a:p>
          </xdr:txBody>
        </xdr:sp>
      </mc:Choice>
      <mc:Fallback xmlns="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12A7D4CE-23A4-44EF-A088-25BD94958A67}"/>
                </a:ext>
              </a:extLst>
            </xdr:cNvPr>
            <xdr:cNvSpPr txBox="1"/>
          </xdr:nvSpPr>
          <xdr:spPr>
            <a:xfrm>
              <a:off x="7632700" y="3046348"/>
              <a:ext cx="1099457" cy="33548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 algn="r"/>
              <a:r>
                <a:rPr lang="th-TH" sz="1800" b="0" i="0">
                  <a:latin typeface="Cambria Math" panose="02040503050406030204" pitchFamily="18" charset="0"/>
                </a:rPr>
                <a:t>〖ค่า</a:t>
              </a:r>
              <a:r>
                <a:rPr lang="en-US" sz="1800" b="0" i="0">
                  <a:latin typeface="Cambria Math" panose="02040503050406030204" pitchFamily="18" charset="0"/>
                </a:rPr>
                <a:t> 𝑎</a:t>
              </a:r>
              <a:r>
                <a:rPr lang="th-TH" sz="1800" b="0" i="0">
                  <a:latin typeface="Cambria Math" panose="02040503050406030204" pitchFamily="18" charset="0"/>
                </a:rPr>
                <a:t>〗^</a:t>
              </a:r>
              <a:r>
                <a:rPr lang="en-US" sz="1800" b="0" i="0">
                  <a:latin typeface="Cambria Math" panose="02040503050406030204" pitchFamily="18" charset="0"/>
                </a:rPr>
                <a:t>2</a:t>
              </a:r>
              <a:r>
                <a:rPr lang="en-US" sz="1800" b="0">
                  <a:latin typeface="TH Sarabun New" panose="020B0500040200020003" pitchFamily="34" charset="-34"/>
                  <a:cs typeface="TH Sarabun New" panose="020B0500040200020003" pitchFamily="34" charset="-34"/>
                </a:rPr>
                <a:t>   a*a=</a:t>
              </a:r>
              <a:endParaRPr lang="th-TH" sz="1800" b="0">
                <a:latin typeface="TH Sarabun New" panose="020B0500040200020003" pitchFamily="34" charset="-34"/>
                <a:cs typeface="TH Sarabun New" panose="020B0500040200020003" pitchFamily="34" charset="-34"/>
              </a:endParaRPr>
            </a:p>
          </xdr:txBody>
        </xdr:sp>
      </mc:Fallback>
    </mc:AlternateContent>
    <xdr:clientData/>
  </xdr:oneCellAnchor>
  <xdr:oneCellAnchor>
    <xdr:from>
      <xdr:col>5</xdr:col>
      <xdr:colOff>330202</xdr:colOff>
      <xdr:row>8</xdr:row>
      <xdr:rowOff>22243</xdr:rowOff>
    </xdr:from>
    <xdr:ext cx="1088569" cy="33698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A5EE61A4-8126-48A7-B9B1-974A399176BE}"/>
                </a:ext>
              </a:extLst>
            </xdr:cNvPr>
            <xdr:cNvSpPr txBox="1"/>
          </xdr:nvSpPr>
          <xdr:spPr>
            <a:xfrm>
              <a:off x="7623631" y="3433100"/>
              <a:ext cx="1088569" cy="33698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 algn="r"/>
              <a14:m>
                <m:oMath xmlns:m="http://schemas.openxmlformats.org/officeDocument/2006/math">
                  <m:sSup>
                    <m:sSupPr>
                      <m:ctrlPr>
                        <a:rPr lang="th-TH" sz="1800" b="0" i="1">
                          <a:latin typeface="Cambria Math" panose="02040503050406030204" pitchFamily="18" charset="0"/>
                        </a:rPr>
                      </m:ctrlPr>
                    </m:sSupPr>
                    <m:e>
                      <m:r>
                        <a:rPr lang="th-TH" sz="1800" b="0" i="1">
                          <a:latin typeface="Cambria Math" panose="02040503050406030204" pitchFamily="18" charset="0"/>
                        </a:rPr>
                        <m:t>ค่า</m:t>
                      </m:r>
                      <m:r>
                        <a:rPr lang="en-US" sz="1800" b="0" i="1">
                          <a:latin typeface="Cambria Math" panose="02040503050406030204" pitchFamily="18" charset="0"/>
                        </a:rPr>
                        <m:t> </m:t>
                      </m:r>
                      <m:r>
                        <a:rPr lang="en-US" sz="1800" b="0" i="1">
                          <a:latin typeface="Cambria Math" panose="02040503050406030204" pitchFamily="18" charset="0"/>
                        </a:rPr>
                        <m:t>𝑏</m:t>
                      </m:r>
                    </m:e>
                    <m:sup>
                      <m:r>
                        <a:rPr lang="en-US" sz="1800" b="0" i="1">
                          <a:latin typeface="Cambria Math" panose="02040503050406030204" pitchFamily="18" charset="0"/>
                        </a:rPr>
                        <m:t>2  </m:t>
                      </m:r>
                    </m:sup>
                  </m:sSup>
                </m:oMath>
              </a14:m>
              <a:r>
                <a:rPr lang="en-US" sz="1800" b="0">
                  <a:latin typeface="TH Sarabun New" panose="020B0500040200020003" pitchFamily="34" charset="-34"/>
                  <a:cs typeface="TH Sarabun New" panose="020B0500040200020003" pitchFamily="34" charset="-34"/>
                </a:rPr>
                <a:t> b*b=</a:t>
              </a:r>
              <a:endParaRPr lang="th-TH" sz="1800" b="0">
                <a:latin typeface="TH Sarabun New" panose="020B0500040200020003" pitchFamily="34" charset="-34"/>
                <a:cs typeface="TH Sarabun New" panose="020B0500040200020003" pitchFamily="34" charset="-34"/>
              </a:endParaRPr>
            </a:p>
          </xdr:txBody>
        </xdr:sp>
      </mc:Choice>
      <mc:Fallback xmlns="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A5EE61A4-8126-48A7-B9B1-974A399176BE}"/>
                </a:ext>
              </a:extLst>
            </xdr:cNvPr>
            <xdr:cNvSpPr txBox="1"/>
          </xdr:nvSpPr>
          <xdr:spPr>
            <a:xfrm>
              <a:off x="7623631" y="3433100"/>
              <a:ext cx="1088569" cy="33698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 algn="r"/>
              <a:r>
                <a:rPr lang="th-TH" sz="1800" b="0" i="0">
                  <a:latin typeface="Cambria Math" panose="02040503050406030204" pitchFamily="18" charset="0"/>
                </a:rPr>
                <a:t>〖ค่า</a:t>
              </a:r>
              <a:r>
                <a:rPr lang="en-US" sz="1800" b="0" i="0">
                  <a:latin typeface="Cambria Math" panose="02040503050406030204" pitchFamily="18" charset="0"/>
                </a:rPr>
                <a:t> 𝑏</a:t>
              </a:r>
              <a:r>
                <a:rPr lang="th-TH" sz="1800" b="0" i="0">
                  <a:latin typeface="Cambria Math" panose="02040503050406030204" pitchFamily="18" charset="0"/>
                </a:rPr>
                <a:t>〗^(</a:t>
              </a:r>
              <a:r>
                <a:rPr lang="en-US" sz="1800" b="0" i="0">
                  <a:latin typeface="Cambria Math" panose="02040503050406030204" pitchFamily="18" charset="0"/>
                </a:rPr>
                <a:t>2  </a:t>
              </a:r>
              <a:r>
                <a:rPr lang="th-TH" sz="1800" b="0" i="0">
                  <a:latin typeface="Cambria Math" panose="02040503050406030204" pitchFamily="18" charset="0"/>
                </a:rPr>
                <a:t>)</a:t>
              </a:r>
              <a:r>
                <a:rPr lang="en-US" sz="1800" b="0">
                  <a:latin typeface="TH Sarabun New" panose="020B0500040200020003" pitchFamily="34" charset="-34"/>
                  <a:cs typeface="TH Sarabun New" panose="020B0500040200020003" pitchFamily="34" charset="-34"/>
                </a:rPr>
                <a:t> b*b=</a:t>
              </a:r>
              <a:endParaRPr lang="th-TH" sz="1800" b="0">
                <a:latin typeface="TH Sarabun New" panose="020B0500040200020003" pitchFamily="34" charset="-34"/>
                <a:cs typeface="TH Sarabun New" panose="020B0500040200020003" pitchFamily="34" charset="-34"/>
              </a:endParaRPr>
            </a:p>
          </xdr:txBody>
        </xdr:sp>
      </mc:Fallback>
    </mc:AlternateContent>
    <xdr:clientData/>
  </xdr:oneCellAnchor>
  <xdr:oneCellAnchor>
    <xdr:from>
      <xdr:col>4</xdr:col>
      <xdr:colOff>496869</xdr:colOff>
      <xdr:row>15</xdr:row>
      <xdr:rowOff>71387</xdr:rowOff>
    </xdr:from>
    <xdr:ext cx="1546017" cy="2987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92124328-09ED-4EE6-BFB9-F23985EF8B68}"/>
                </a:ext>
              </a:extLst>
            </xdr:cNvPr>
            <xdr:cNvSpPr txBox="1"/>
          </xdr:nvSpPr>
          <xdr:spPr>
            <a:xfrm>
              <a:off x="7119012" y="5904316"/>
              <a:ext cx="1546017" cy="2987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>
                    <m:sSup>
                      <m:sSupPr>
                        <m:ctrlPr>
                          <a:rPr lang="en-US" sz="14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US" sz="14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𝑐</m:t>
                        </m:r>
                      </m:e>
                      <m:sup>
                        <m:r>
                          <a:rPr lang="en-US" sz="14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  <m:r>
                      <a:rPr lang="en-US" sz="14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ad>
                      <m:radPr>
                        <m:degHide m:val="on"/>
                        <m:ctrlPr>
                          <a:rPr lang="th-TH" sz="1400" i="1">
                            <a:latin typeface="Cambria Math" panose="02040503050406030204" pitchFamily="18" charset="0"/>
                          </a:rPr>
                        </m:ctrlPr>
                      </m:radPr>
                      <m:deg/>
                      <m:e>
                        <m:r>
                          <a:rPr lang="en-US" sz="1400" b="1" i="1">
                            <a:solidFill>
                              <a:srgbClr val="FF00FF"/>
                            </a:solidFill>
                            <a:latin typeface="Cambria Math" panose="02040503050406030204" pitchFamily="18" charset="0"/>
                          </a:rPr>
                          <m:t>(</m:t>
                        </m:r>
                        <m:r>
                          <a:rPr lang="en-US" sz="1400" b="1" i="1">
                            <a:solidFill>
                              <a:srgbClr val="FF00FF"/>
                            </a:solidFill>
                            <a:latin typeface="Cambria Math" panose="02040503050406030204" pitchFamily="18" charset="0"/>
                          </a:rPr>
                          <m:t>𝟑</m:t>
                        </m:r>
                        <m:r>
                          <a:rPr lang="en-US" sz="1400" b="1" i="1">
                            <a:solidFill>
                              <a:srgbClr val="FF00FF"/>
                            </a:solidFill>
                            <a:latin typeface="Cambria Math" panose="02040503050406030204" pitchFamily="18" charset="0"/>
                          </a:rPr>
                          <m:t>)</m:t>
                        </m:r>
                      </m:e>
                    </m:rad>
                  </m:oMath>
                </m:oMathPara>
              </a14:m>
              <a:endParaRPr lang="th-TH" sz="1100"/>
            </a:p>
          </xdr:txBody>
        </xdr:sp>
      </mc:Choice>
      <mc:Fallback xmlns="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92124328-09ED-4EE6-BFB9-F23985EF8B68}"/>
                </a:ext>
              </a:extLst>
            </xdr:cNvPr>
            <xdr:cNvSpPr txBox="1"/>
          </xdr:nvSpPr>
          <xdr:spPr>
            <a:xfrm>
              <a:off x="7119012" y="5904316"/>
              <a:ext cx="1546017" cy="2987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/>
              <a:r>
                <a:rPr lang="en-US" sz="14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𝑐</a:t>
              </a:r>
              <a:r>
                <a:rPr lang="th-TH" sz="14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^</a:t>
              </a:r>
              <a:r>
                <a:rPr lang="en-US" sz="14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2  </a:t>
              </a:r>
              <a:r>
                <a:rPr lang="th-TH" sz="1400" i="0">
                  <a:latin typeface="Cambria Math" panose="02040503050406030204" pitchFamily="18" charset="0"/>
                </a:rPr>
                <a:t>√(</a:t>
              </a:r>
              <a:r>
                <a:rPr lang="en-US" sz="1400" b="1" i="0">
                  <a:solidFill>
                    <a:srgbClr val="FF00FF"/>
                  </a:solidFill>
                  <a:latin typeface="Cambria Math" panose="02040503050406030204" pitchFamily="18" charset="0"/>
                </a:rPr>
                <a:t>(𝟑)</a:t>
              </a:r>
              <a:r>
                <a:rPr lang="th-TH" sz="1400" b="1" i="0">
                  <a:solidFill>
                    <a:srgbClr val="FF00FF"/>
                  </a:solidFill>
                  <a:latin typeface="Cambria Math" panose="02040503050406030204" pitchFamily="18" charset="0"/>
                </a:rPr>
                <a:t>)</a:t>
              </a:r>
              <a:endParaRPr lang="th-TH" sz="1100"/>
            </a:p>
          </xdr:txBody>
        </xdr:sp>
      </mc:Fallback>
    </mc:AlternateContent>
    <xdr:clientData/>
  </xdr:oneCellAnchor>
  <xdr:twoCellAnchor>
    <xdr:from>
      <xdr:col>5</xdr:col>
      <xdr:colOff>1767416</xdr:colOff>
      <xdr:row>8</xdr:row>
      <xdr:rowOff>199572</xdr:rowOff>
    </xdr:from>
    <xdr:to>
      <xdr:col>10</xdr:col>
      <xdr:colOff>222250</xdr:colOff>
      <xdr:row>12</xdr:row>
      <xdr:rowOff>32656</xdr:rowOff>
    </xdr:to>
    <xdr:grpSp>
      <xdr:nvGrpSpPr>
        <xdr:cNvPr id="8" name="Group 7">
          <a:extLst>
            <a:ext uri="{FF2B5EF4-FFF2-40B4-BE49-F238E27FC236}">
              <a16:creationId xmlns:a16="http://schemas.microsoft.com/office/drawing/2014/main" id="{CC1C759A-8ED0-4AA3-99FE-0A677F7F2988}"/>
            </a:ext>
          </a:extLst>
        </xdr:cNvPr>
        <xdr:cNvGrpSpPr/>
      </xdr:nvGrpSpPr>
      <xdr:grpSpPr>
        <a:xfrm>
          <a:off x="9184216" y="2841172"/>
          <a:ext cx="5998634" cy="1293584"/>
          <a:chOff x="715617" y="1186070"/>
          <a:chExt cx="2902227" cy="1630016"/>
        </a:xfrm>
      </xdr:grpSpPr>
      <xdr:cxnSp macro="">
        <xdr:nvCxnSpPr>
          <xdr:cNvPr id="9" name="Straight Arrow Connector 8">
            <a:extLst>
              <a:ext uri="{FF2B5EF4-FFF2-40B4-BE49-F238E27FC236}">
                <a16:creationId xmlns:a16="http://schemas.microsoft.com/office/drawing/2014/main" id="{2A74F7FC-1725-1B87-6E33-5E402B68C32E}"/>
              </a:ext>
            </a:extLst>
          </xdr:cNvPr>
          <xdr:cNvCxnSpPr/>
        </xdr:nvCxnSpPr>
        <xdr:spPr>
          <a:xfrm>
            <a:off x="715618" y="2643809"/>
            <a:ext cx="0" cy="172277"/>
          </a:xfrm>
          <a:prstGeom prst="straightConnector1">
            <a:avLst/>
          </a:prstGeom>
          <a:ln w="12700">
            <a:solidFill>
              <a:srgbClr val="FF00FF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0" name="Straight Connector 9">
            <a:extLst>
              <a:ext uri="{FF2B5EF4-FFF2-40B4-BE49-F238E27FC236}">
                <a16:creationId xmlns:a16="http://schemas.microsoft.com/office/drawing/2014/main" id="{3DA26A2E-0D63-713F-19A1-C09C0C66D30F}"/>
              </a:ext>
            </a:extLst>
          </xdr:cNvPr>
          <xdr:cNvCxnSpPr/>
        </xdr:nvCxnSpPr>
        <xdr:spPr>
          <a:xfrm flipV="1">
            <a:off x="3611217" y="1358348"/>
            <a:ext cx="0" cy="1285461"/>
          </a:xfrm>
          <a:prstGeom prst="line">
            <a:avLst/>
          </a:prstGeom>
          <a:ln w="12700">
            <a:solidFill>
              <a:srgbClr val="FF00FF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1" name="Straight Arrow Connector 10">
            <a:extLst>
              <a:ext uri="{FF2B5EF4-FFF2-40B4-BE49-F238E27FC236}">
                <a16:creationId xmlns:a16="http://schemas.microsoft.com/office/drawing/2014/main" id="{34476FD1-82DB-D2C8-0978-0A71B8AD0D24}"/>
              </a:ext>
            </a:extLst>
          </xdr:cNvPr>
          <xdr:cNvCxnSpPr/>
        </xdr:nvCxnSpPr>
        <xdr:spPr>
          <a:xfrm flipV="1">
            <a:off x="3611217" y="1186070"/>
            <a:ext cx="6627" cy="172278"/>
          </a:xfrm>
          <a:prstGeom prst="straightConnector1">
            <a:avLst/>
          </a:prstGeom>
          <a:ln w="12700">
            <a:solidFill>
              <a:srgbClr val="FF00FF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2" name="Straight Connector 11">
            <a:extLst>
              <a:ext uri="{FF2B5EF4-FFF2-40B4-BE49-F238E27FC236}">
                <a16:creationId xmlns:a16="http://schemas.microsoft.com/office/drawing/2014/main" id="{67347A08-ABAB-F1A7-8348-12E7A4884453}"/>
              </a:ext>
            </a:extLst>
          </xdr:cNvPr>
          <xdr:cNvCxnSpPr/>
        </xdr:nvCxnSpPr>
        <xdr:spPr>
          <a:xfrm>
            <a:off x="715617" y="2643809"/>
            <a:ext cx="2895601" cy="6626"/>
          </a:xfrm>
          <a:prstGeom prst="line">
            <a:avLst/>
          </a:prstGeom>
          <a:ln w="12700">
            <a:solidFill>
              <a:srgbClr val="FF00FF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10</xdr:col>
      <xdr:colOff>25401</xdr:colOff>
      <xdr:row>7</xdr:row>
      <xdr:rowOff>296334</xdr:rowOff>
    </xdr:from>
    <xdr:to>
      <xdr:col>11</xdr:col>
      <xdr:colOff>21167</xdr:colOff>
      <xdr:row>8</xdr:row>
      <xdr:rowOff>181428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30F5B060-D4BC-47A8-BEC2-E33C1A64A626}"/>
            </a:ext>
          </a:extLst>
        </xdr:cNvPr>
        <xdr:cNvSpPr txBox="1"/>
      </xdr:nvSpPr>
      <xdr:spPr>
        <a:xfrm>
          <a:off x="13963651" y="2561167"/>
          <a:ext cx="387349" cy="223761"/>
        </a:xfrm>
        <a:prstGeom prst="rect">
          <a:avLst/>
        </a:prstGeom>
        <a:solidFill>
          <a:schemeClr val="lt1"/>
        </a:solidFill>
        <a:ln w="15875" cmpd="sng">
          <a:solidFill>
            <a:srgbClr val="FF00FF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>
              <a:solidFill>
                <a:srgbClr val="FF00FF"/>
              </a:solidFill>
            </a:rPr>
            <a:t>  1</a:t>
          </a:r>
          <a:endParaRPr lang="th-TH" sz="1100">
            <a:solidFill>
              <a:srgbClr val="FF00FF"/>
            </a:solidFill>
          </a:endParaRPr>
        </a:p>
      </xdr:txBody>
    </xdr:sp>
    <xdr:clientData/>
  </xdr:twoCellAnchor>
  <xdr:twoCellAnchor>
    <xdr:from>
      <xdr:col>7</xdr:col>
      <xdr:colOff>43543</xdr:colOff>
      <xdr:row>10</xdr:row>
      <xdr:rowOff>43544</xdr:rowOff>
    </xdr:from>
    <xdr:to>
      <xdr:col>7</xdr:col>
      <xdr:colOff>402771</xdr:colOff>
      <xdr:row>10</xdr:row>
      <xdr:rowOff>304802</xdr:rowOff>
    </xdr:to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AA11FB88-5225-4C83-A87D-2662B62673E6}"/>
            </a:ext>
          </a:extLst>
        </xdr:cNvPr>
        <xdr:cNvSpPr txBox="1"/>
      </xdr:nvSpPr>
      <xdr:spPr>
        <a:xfrm>
          <a:off x="4074523" y="6886304"/>
          <a:ext cx="359228" cy="261258"/>
        </a:xfrm>
        <a:prstGeom prst="rect">
          <a:avLst/>
        </a:prstGeom>
        <a:solidFill>
          <a:schemeClr val="lt1"/>
        </a:solidFill>
        <a:ln w="15875" cmpd="sng">
          <a:solidFill>
            <a:srgbClr val="FF00FF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>
              <a:solidFill>
                <a:srgbClr val="FF00FF"/>
              </a:solidFill>
            </a:rPr>
            <a:t>2 </a:t>
          </a:r>
          <a:endParaRPr lang="th-TH" sz="1100">
            <a:solidFill>
              <a:srgbClr val="FF00FF"/>
            </a:solidFill>
          </a:endParaRPr>
        </a:p>
      </xdr:txBody>
    </xdr:sp>
    <xdr:clientData/>
  </xdr:twoCellAnchor>
  <xdr:twoCellAnchor>
    <xdr:from>
      <xdr:col>7</xdr:col>
      <xdr:colOff>21772</xdr:colOff>
      <xdr:row>12</xdr:row>
      <xdr:rowOff>32657</xdr:rowOff>
    </xdr:from>
    <xdr:to>
      <xdr:col>7</xdr:col>
      <xdr:colOff>381000</xdr:colOff>
      <xdr:row>12</xdr:row>
      <xdr:rowOff>293915</xdr:rowOff>
    </xdr:to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19B74BCF-686F-4FC1-B504-962F1855D271}"/>
            </a:ext>
          </a:extLst>
        </xdr:cNvPr>
        <xdr:cNvSpPr txBox="1"/>
      </xdr:nvSpPr>
      <xdr:spPr>
        <a:xfrm>
          <a:off x="4052752" y="7820297"/>
          <a:ext cx="359228" cy="261258"/>
        </a:xfrm>
        <a:prstGeom prst="rect">
          <a:avLst/>
        </a:prstGeom>
        <a:solidFill>
          <a:schemeClr val="lt1"/>
        </a:solidFill>
        <a:ln w="15875" cmpd="sng">
          <a:solidFill>
            <a:srgbClr val="FF00FF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>
              <a:solidFill>
                <a:srgbClr val="FF00FF"/>
              </a:solidFill>
            </a:rPr>
            <a:t>3</a:t>
          </a:r>
          <a:endParaRPr lang="th-TH" sz="1100">
            <a:solidFill>
              <a:srgbClr val="FF00FF"/>
            </a:solidFill>
          </a:endParaRPr>
        </a:p>
      </xdr:txBody>
    </xdr:sp>
    <xdr:clientData/>
  </xdr:twoCellAnchor>
  <xdr:twoCellAnchor>
    <xdr:from>
      <xdr:col>1</xdr:col>
      <xdr:colOff>1618339</xdr:colOff>
      <xdr:row>3</xdr:row>
      <xdr:rowOff>254964</xdr:rowOff>
    </xdr:from>
    <xdr:to>
      <xdr:col>3</xdr:col>
      <xdr:colOff>886504</xdr:colOff>
      <xdr:row>9</xdr:row>
      <xdr:rowOff>272144</xdr:rowOff>
    </xdr:to>
    <xdr:grpSp>
      <xdr:nvGrpSpPr>
        <xdr:cNvPr id="16" name="Group 15">
          <a:extLst>
            <a:ext uri="{FF2B5EF4-FFF2-40B4-BE49-F238E27FC236}">
              <a16:creationId xmlns:a16="http://schemas.microsoft.com/office/drawing/2014/main" id="{54EFA4BB-DA7B-4F44-9BC5-B93E49325173}"/>
            </a:ext>
          </a:extLst>
        </xdr:cNvPr>
        <xdr:cNvGrpSpPr/>
      </xdr:nvGrpSpPr>
      <xdr:grpSpPr>
        <a:xfrm>
          <a:off x="1935839" y="1283664"/>
          <a:ext cx="3370265" cy="1972980"/>
          <a:chOff x="5620837" y="717743"/>
          <a:chExt cx="2907542" cy="2103801"/>
        </a:xfrm>
      </xdr:grpSpPr>
      <xdr:grpSp>
        <xdr:nvGrpSpPr>
          <xdr:cNvPr id="17" name="Group 16">
            <a:extLst>
              <a:ext uri="{FF2B5EF4-FFF2-40B4-BE49-F238E27FC236}">
                <a16:creationId xmlns:a16="http://schemas.microsoft.com/office/drawing/2014/main" id="{1D90B25E-6313-B039-A5CC-E929718836E7}"/>
              </a:ext>
            </a:extLst>
          </xdr:cNvPr>
          <xdr:cNvGrpSpPr/>
        </xdr:nvGrpSpPr>
        <xdr:grpSpPr>
          <a:xfrm>
            <a:off x="5720051" y="717743"/>
            <a:ext cx="2808328" cy="2103801"/>
            <a:chOff x="5720051" y="717743"/>
            <a:chExt cx="2808328" cy="2103801"/>
          </a:xfrm>
        </xdr:grpSpPr>
        <xdr:sp macro="" textlink="">
          <xdr:nvSpPr>
            <xdr:cNvPr id="19" name="Right Triangle 18">
              <a:extLst>
                <a:ext uri="{FF2B5EF4-FFF2-40B4-BE49-F238E27FC236}">
                  <a16:creationId xmlns:a16="http://schemas.microsoft.com/office/drawing/2014/main" id="{28190216-ADDF-EA90-F8A4-30D5EFB756BF}"/>
                </a:ext>
              </a:extLst>
            </xdr:cNvPr>
            <xdr:cNvSpPr/>
          </xdr:nvSpPr>
          <xdr:spPr>
            <a:xfrm flipH="1">
              <a:off x="5720051" y="717743"/>
              <a:ext cx="2050969" cy="1439029"/>
            </a:xfrm>
            <a:prstGeom prst="rtTriangle">
              <a:avLst/>
            </a:prstGeom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th-TH" sz="1100"/>
            </a:p>
          </xdr:txBody>
        </xdr:sp>
        <mc:AlternateContent xmlns:mc="http://schemas.openxmlformats.org/markup-compatibility/2006" xmlns:a14="http://schemas.microsoft.com/office/drawing/2010/main">
          <mc:Choice Requires="a14">
            <xdr:sp macro="" textlink="">
              <xdr:nvSpPr>
                <xdr:cNvPr id="20" name="TextBox 19">
                  <a:extLst>
                    <a:ext uri="{FF2B5EF4-FFF2-40B4-BE49-F238E27FC236}">
                      <a16:creationId xmlns:a16="http://schemas.microsoft.com/office/drawing/2014/main" id="{6C043319-AD3A-B422-B13B-CA191B106524}"/>
                    </a:ext>
                  </a:extLst>
                </xdr:cNvPr>
                <xdr:cNvSpPr txBox="1"/>
              </xdr:nvSpPr>
              <xdr:spPr>
                <a:xfrm>
                  <a:off x="7776511" y="1134836"/>
                  <a:ext cx="751868" cy="479615"/>
                </a:xfrm>
                <a:prstGeom prst="rect">
                  <a:avLst/>
                </a:prstGeom>
                <a:noFill/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tx1"/>
                </a:fontRef>
              </xdr:style>
              <xdr:txBody>
                <a:bodyPr vertOverflow="clip" horzOverflow="clip" wrap="square" lIns="0" tIns="0" rIns="0" bIns="0" rtlCol="0" anchor="t">
                  <a:noAutofit/>
                </a:bodyPr>
                <a:lstStyle/>
                <a:p>
                  <a:pPr/>
                  <a14:m>
                    <m:oMathPara xmlns:m="http://schemas.openxmlformats.org/officeDocument/2006/math">
                      <m:oMath>
                        <m:r>
                          <a:rPr lang="en-US" sz="2400" b="0" i="1">
                            <a:latin typeface="Cambria Math" panose="02040503050406030204" pitchFamily="18" charset="0"/>
                          </a:rPr>
                          <m:t>𝑎</m:t>
                        </m:r>
                      </m:oMath>
                    </m:oMathPara>
                  </a14:m>
                  <a:endParaRPr lang="th-TH" sz="2400" b="1">
                    <a:latin typeface="TH Sarabun New" panose="020B0500040200020003" pitchFamily="34" charset="-34"/>
                    <a:cs typeface="TH Sarabun New" panose="020B0500040200020003" pitchFamily="34" charset="-34"/>
                  </a:endParaRPr>
                </a:p>
              </xdr:txBody>
            </xdr:sp>
          </mc:Choice>
          <mc:Fallback xmlns="">
            <xdr:sp macro="" textlink="">
              <xdr:nvSpPr>
                <xdr:cNvPr id="20" name="TextBox 19">
                  <a:extLst>
                    <a:ext uri="{FF2B5EF4-FFF2-40B4-BE49-F238E27FC236}">
                      <a16:creationId xmlns:a16="http://schemas.microsoft.com/office/drawing/2014/main" id="{6C043319-AD3A-B422-B13B-CA191B106524}"/>
                    </a:ext>
                  </a:extLst>
                </xdr:cNvPr>
                <xdr:cNvSpPr txBox="1"/>
              </xdr:nvSpPr>
              <xdr:spPr>
                <a:xfrm>
                  <a:off x="7776511" y="1134836"/>
                  <a:ext cx="751868" cy="479615"/>
                </a:xfrm>
                <a:prstGeom prst="rect">
                  <a:avLst/>
                </a:prstGeom>
                <a:noFill/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tx1"/>
                </a:fontRef>
              </xdr:style>
              <xdr:txBody>
                <a:bodyPr vertOverflow="clip" horzOverflow="clip" wrap="square" lIns="0" tIns="0" rIns="0" bIns="0" rtlCol="0" anchor="t">
                  <a:noAutofit/>
                </a:bodyPr>
                <a:lstStyle/>
                <a:p>
                  <a:pPr/>
                  <a:r>
                    <a:rPr lang="en-US" sz="2400" b="0" i="0">
                      <a:latin typeface="Cambria Math" panose="02040503050406030204" pitchFamily="18" charset="0"/>
                    </a:rPr>
                    <a:t>𝑎</a:t>
                  </a:r>
                  <a:endParaRPr lang="th-TH" sz="2400" b="1">
                    <a:latin typeface="TH Sarabun New" panose="020B0500040200020003" pitchFamily="34" charset="-34"/>
                    <a:cs typeface="TH Sarabun New" panose="020B0500040200020003" pitchFamily="34" charset="-34"/>
                  </a:endParaRPr>
                </a:p>
              </xdr:txBody>
            </xdr:sp>
          </mc:Fallback>
        </mc:AlternateContent>
        <mc:AlternateContent xmlns:mc="http://schemas.openxmlformats.org/markup-compatibility/2006" xmlns:a14="http://schemas.microsoft.com/office/drawing/2010/main">
          <mc:Choice Requires="a14">
            <xdr:sp macro="" textlink="">
              <xdr:nvSpPr>
                <xdr:cNvPr id="21" name="TextBox 20">
                  <a:extLst>
                    <a:ext uri="{FF2B5EF4-FFF2-40B4-BE49-F238E27FC236}">
                      <a16:creationId xmlns:a16="http://schemas.microsoft.com/office/drawing/2014/main" id="{9E893674-FA62-9C8A-1B97-2016BE52678E}"/>
                    </a:ext>
                  </a:extLst>
                </xdr:cNvPr>
                <xdr:cNvSpPr txBox="1"/>
              </xdr:nvSpPr>
              <xdr:spPr>
                <a:xfrm>
                  <a:off x="6173172" y="2341929"/>
                  <a:ext cx="1470214" cy="479615"/>
                </a:xfrm>
                <a:prstGeom prst="rect">
                  <a:avLst/>
                </a:prstGeom>
                <a:noFill/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tx1"/>
                </a:fontRef>
              </xdr:style>
              <xdr:txBody>
                <a:bodyPr vertOverflow="clip" horzOverflow="clip" wrap="square" lIns="0" tIns="0" rIns="0" bIns="0" rtlCol="0" anchor="t">
                  <a:noAutofit/>
                </a:bodyPr>
                <a:lstStyle/>
                <a:p>
                  <a:pPr/>
                  <a14:m>
                    <m:oMathPara xmlns:m="http://schemas.openxmlformats.org/officeDocument/2006/math">
                      <m:oMath>
                        <m:r>
                          <a:rPr lang="en-US" sz="2400" b="0" i="1">
                            <a:latin typeface="Cambria Math" panose="02040503050406030204" pitchFamily="18" charset="0"/>
                          </a:rPr>
                          <m:t>𝑏</m:t>
                        </m:r>
                      </m:oMath>
                    </m:oMathPara>
                  </a14:m>
                  <a:endParaRPr lang="th-TH" sz="2400" b="0">
                    <a:latin typeface="TH Sarabun New" panose="020B0500040200020003" pitchFamily="34" charset="-34"/>
                    <a:cs typeface="TH Sarabun New" panose="020B0500040200020003" pitchFamily="34" charset="-34"/>
                  </a:endParaRPr>
                </a:p>
              </xdr:txBody>
            </xdr:sp>
          </mc:Choice>
          <mc:Fallback xmlns="">
            <xdr:sp macro="" textlink="">
              <xdr:nvSpPr>
                <xdr:cNvPr id="21" name="TextBox 20">
                  <a:extLst>
                    <a:ext uri="{FF2B5EF4-FFF2-40B4-BE49-F238E27FC236}">
                      <a16:creationId xmlns:a16="http://schemas.microsoft.com/office/drawing/2014/main" id="{9E893674-FA62-9C8A-1B97-2016BE52678E}"/>
                    </a:ext>
                  </a:extLst>
                </xdr:cNvPr>
                <xdr:cNvSpPr txBox="1"/>
              </xdr:nvSpPr>
              <xdr:spPr>
                <a:xfrm>
                  <a:off x="6173172" y="2341929"/>
                  <a:ext cx="1470214" cy="479615"/>
                </a:xfrm>
                <a:prstGeom prst="rect">
                  <a:avLst/>
                </a:prstGeom>
                <a:noFill/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tx1"/>
                </a:fontRef>
              </xdr:style>
              <xdr:txBody>
                <a:bodyPr vertOverflow="clip" horzOverflow="clip" wrap="square" lIns="0" tIns="0" rIns="0" bIns="0" rtlCol="0" anchor="t">
                  <a:noAutofit/>
                </a:bodyPr>
                <a:lstStyle/>
                <a:p>
                  <a:pPr/>
                  <a:r>
                    <a:rPr lang="en-US" sz="2400" b="0" i="0">
                      <a:latin typeface="Cambria Math" panose="02040503050406030204" pitchFamily="18" charset="0"/>
                    </a:rPr>
                    <a:t>𝑏</a:t>
                  </a:r>
                  <a:endParaRPr lang="th-TH" sz="2400" b="0">
                    <a:latin typeface="TH Sarabun New" panose="020B0500040200020003" pitchFamily="34" charset="-34"/>
                    <a:cs typeface="TH Sarabun New" panose="020B0500040200020003" pitchFamily="34" charset="-34"/>
                  </a:endParaRPr>
                </a:p>
              </xdr:txBody>
            </xdr:sp>
          </mc:Fallback>
        </mc:AlternateContent>
      </xdr:grpSp>
      <mc:AlternateContent xmlns:mc="http://schemas.openxmlformats.org/markup-compatibility/2006" xmlns:a14="http://schemas.microsoft.com/office/drawing/2010/main">
        <mc:Choice Requires="a14">
          <xdr:sp macro="" textlink="">
            <xdr:nvSpPr>
              <xdr:cNvPr id="18" name="TextBox 17">
                <a:extLst>
                  <a:ext uri="{FF2B5EF4-FFF2-40B4-BE49-F238E27FC236}">
                    <a16:creationId xmlns:a16="http://schemas.microsoft.com/office/drawing/2014/main" id="{D948265C-C562-E026-38F3-458C5376474B}"/>
                  </a:ext>
                </a:extLst>
              </xdr:cNvPr>
              <xdr:cNvSpPr txBox="1"/>
            </xdr:nvSpPr>
            <xdr:spPr>
              <a:xfrm>
                <a:off x="5620837" y="918634"/>
                <a:ext cx="1207118" cy="395225"/>
              </a:xfrm>
              <a:prstGeom prst="rect">
                <a:avLst/>
              </a:prstGeom>
              <a:noFill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square" lIns="0" tIns="0" rIns="0" bIns="0" rtlCol="0" anchor="t">
                <a:noAutofit/>
              </a:bodyPr>
              <a:lstStyle/>
              <a:p>
                <a:pPr/>
                <a14:m>
                  <m:oMathPara xmlns:m="http://schemas.openxmlformats.org/officeDocument/2006/math">
                    <m:oMath>
                      <m:r>
                        <a:rPr lang="en-US" sz="2400" b="0" i="1">
                          <a:latin typeface="Cambria Math" panose="02040503050406030204" pitchFamily="18" charset="0"/>
                        </a:rPr>
                        <m:t>𝑐</m:t>
                      </m:r>
                      <m:r>
                        <a:rPr lang="en-US" sz="2400" b="0" i="0">
                          <a:latin typeface="Cambria Math" panose="02040503050406030204" pitchFamily="18" charset="0"/>
                        </a:rPr>
                        <m:t>= </m:t>
                      </m:r>
                      <m:r>
                        <a:rPr lang="th-TH" sz="2400" b="0" i="0">
                          <a:latin typeface="Cambria Math" panose="02040503050406030204" pitchFamily="18" charset="0"/>
                        </a:rPr>
                        <m:t>?</m:t>
                      </m:r>
                    </m:oMath>
                  </m:oMathPara>
                </a14:m>
                <a:endParaRPr lang="th-TH" sz="2400" b="0">
                  <a:latin typeface="TH Sarabun New" panose="020B0500040200020003" pitchFamily="34" charset="-34"/>
                  <a:cs typeface="TH Sarabun New" panose="020B0500040200020003" pitchFamily="34" charset="-34"/>
                </a:endParaRPr>
              </a:p>
            </xdr:txBody>
          </xdr:sp>
        </mc:Choice>
        <mc:Fallback xmlns="">
          <xdr:sp macro="" textlink="">
            <xdr:nvSpPr>
              <xdr:cNvPr id="18" name="TextBox 17">
                <a:extLst>
                  <a:ext uri="{FF2B5EF4-FFF2-40B4-BE49-F238E27FC236}">
                    <a16:creationId xmlns:a16="http://schemas.microsoft.com/office/drawing/2014/main" id="{D948265C-C562-E026-38F3-458C5376474B}"/>
                  </a:ext>
                </a:extLst>
              </xdr:cNvPr>
              <xdr:cNvSpPr txBox="1"/>
            </xdr:nvSpPr>
            <xdr:spPr>
              <a:xfrm>
                <a:off x="5620837" y="918634"/>
                <a:ext cx="1207118" cy="395225"/>
              </a:xfrm>
              <a:prstGeom prst="rect">
                <a:avLst/>
              </a:prstGeom>
              <a:noFill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square" lIns="0" tIns="0" rIns="0" bIns="0" rtlCol="0" anchor="t">
                <a:noAutofit/>
              </a:bodyPr>
              <a:lstStyle/>
              <a:p>
                <a:pPr/>
                <a:r>
                  <a:rPr lang="en-US" sz="2400" b="0" i="0">
                    <a:latin typeface="Cambria Math" panose="02040503050406030204" pitchFamily="18" charset="0"/>
                  </a:rPr>
                  <a:t>𝑐= </a:t>
                </a:r>
                <a:r>
                  <a:rPr lang="th-TH" sz="2400" b="0" i="0">
                    <a:latin typeface="Cambria Math" panose="02040503050406030204" pitchFamily="18" charset="0"/>
                  </a:rPr>
                  <a:t>?</a:t>
                </a:r>
                <a:endParaRPr lang="th-TH" sz="2400" b="0">
                  <a:latin typeface="TH Sarabun New" panose="020B0500040200020003" pitchFamily="34" charset="-34"/>
                  <a:cs typeface="TH Sarabun New" panose="020B0500040200020003" pitchFamily="34" charset="-34"/>
                </a:endParaRPr>
              </a:p>
            </xdr:txBody>
          </xdr:sp>
        </mc:Fallback>
      </mc:AlternateContent>
    </xdr:grpSp>
    <xdr:clientData/>
  </xdr:twoCellAnchor>
  <xdr:twoCellAnchor>
    <xdr:from>
      <xdr:col>1</xdr:col>
      <xdr:colOff>195944</xdr:colOff>
      <xdr:row>12</xdr:row>
      <xdr:rowOff>0</xdr:rowOff>
    </xdr:from>
    <xdr:to>
      <xdr:col>2</xdr:col>
      <xdr:colOff>130630</xdr:colOff>
      <xdr:row>13</xdr:row>
      <xdr:rowOff>183108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2" name="TextBox 21">
              <a:extLst>
                <a:ext uri="{FF2B5EF4-FFF2-40B4-BE49-F238E27FC236}">
                  <a16:creationId xmlns:a16="http://schemas.microsoft.com/office/drawing/2014/main" id="{566B040E-A892-4973-8135-01D1C38A5AD3}"/>
                </a:ext>
              </a:extLst>
            </xdr:cNvPr>
            <xdr:cNvSpPr txBox="1"/>
          </xdr:nvSpPr>
          <xdr:spPr>
            <a:xfrm>
              <a:off x="515984" y="3741420"/>
              <a:ext cx="2274026" cy="52600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14:m>
                <m:oMath xmlns:m="http://schemas.openxmlformats.org/officeDocument/2006/math">
                  <m:r>
                    <a:rPr lang="th-TH" sz="1400" b="0" i="1">
                      <a:latin typeface="Cambria Math" panose="02040503050406030204" pitchFamily="18" charset="0"/>
                    </a:rPr>
                    <m:t>ใส่ค่าระยะ </m:t>
                  </m:r>
                  <m:r>
                    <a:rPr lang="en-US" sz="1400" b="0" i="1">
                      <a:latin typeface="Cambria Math" panose="02040503050406030204" pitchFamily="18" charset="0"/>
                    </a:rPr>
                    <m:t>𝑀𝑜𝑢𝑛𝑡𝑖𝑛𝑔</m:t>
                  </m:r>
                  <m:r>
                    <a:rPr lang="en-US" sz="1400" b="0" i="1">
                      <a:latin typeface="Cambria Math" panose="02040503050406030204" pitchFamily="18" charset="0"/>
                    </a:rPr>
                    <m:t> </m:t>
                  </m:r>
                  <m:r>
                    <a:rPr lang="en-US" sz="1400" b="0" i="1">
                      <a:latin typeface="Cambria Math" panose="02040503050406030204" pitchFamily="18" charset="0"/>
                    </a:rPr>
                    <m:t>𝑎</m:t>
                  </m:r>
                  <m:r>
                    <a:rPr lang="en-US" sz="1400" b="0" i="1">
                      <a:latin typeface="Cambria Math" panose="02040503050406030204" pitchFamily="18" charset="0"/>
                    </a:rPr>
                    <m:t> </m:t>
                  </m:r>
                </m:oMath>
              </a14:m>
              <a:r>
                <a:rPr lang="en-US" sz="2400" b="0">
                  <a:latin typeface="TH Sarabun New" panose="020B0500040200020003" pitchFamily="34" charset="-34"/>
                  <a:cs typeface="TH Sarabun New" panose="020B0500040200020003" pitchFamily="34" charset="-34"/>
                </a:rPr>
                <a:t>=</a:t>
              </a:r>
              <a:endParaRPr lang="th-TH" sz="2400" b="0">
                <a:latin typeface="TH Sarabun New" panose="020B0500040200020003" pitchFamily="34" charset="-34"/>
                <a:cs typeface="TH Sarabun New" panose="020B0500040200020003" pitchFamily="34" charset="-34"/>
              </a:endParaRPr>
            </a:p>
          </xdr:txBody>
        </xdr:sp>
      </mc:Choice>
      <mc:Fallback xmlns="">
        <xdr:sp macro="" textlink="">
          <xdr:nvSpPr>
            <xdr:cNvPr id="22" name="TextBox 21">
              <a:extLst>
                <a:ext uri="{FF2B5EF4-FFF2-40B4-BE49-F238E27FC236}">
                  <a16:creationId xmlns:a16="http://schemas.microsoft.com/office/drawing/2014/main" id="{566B040E-A892-4973-8135-01D1C38A5AD3}"/>
                </a:ext>
              </a:extLst>
            </xdr:cNvPr>
            <xdr:cNvSpPr txBox="1"/>
          </xdr:nvSpPr>
          <xdr:spPr>
            <a:xfrm>
              <a:off x="515984" y="3741420"/>
              <a:ext cx="2274026" cy="52600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r>
                <a:rPr lang="th-TH" sz="1400" b="0" i="0">
                  <a:latin typeface="Cambria Math" panose="02040503050406030204" pitchFamily="18" charset="0"/>
                </a:rPr>
                <a:t>ใส่ค่าระยะ </a:t>
              </a:r>
              <a:r>
                <a:rPr lang="en-US" sz="1400" b="0" i="0">
                  <a:latin typeface="Cambria Math" panose="02040503050406030204" pitchFamily="18" charset="0"/>
                </a:rPr>
                <a:t>𝑀𝑜𝑢𝑛𝑡𝑖𝑛𝑔 𝑎 </a:t>
              </a:r>
              <a:r>
                <a:rPr lang="en-US" sz="2400" b="0">
                  <a:latin typeface="TH Sarabun New" panose="020B0500040200020003" pitchFamily="34" charset="-34"/>
                  <a:cs typeface="TH Sarabun New" panose="020B0500040200020003" pitchFamily="34" charset="-34"/>
                </a:rPr>
                <a:t>=</a:t>
              </a:r>
              <a:endParaRPr lang="th-TH" sz="2400" b="0">
                <a:latin typeface="TH Sarabun New" panose="020B0500040200020003" pitchFamily="34" charset="-34"/>
                <a:cs typeface="TH Sarabun New" panose="020B0500040200020003" pitchFamily="34" charset="-34"/>
              </a:endParaRPr>
            </a:p>
          </xdr:txBody>
        </xdr:sp>
      </mc:Fallback>
    </mc:AlternateContent>
    <xdr:clientData/>
  </xdr:twoCellAnchor>
  <xdr:twoCellAnchor>
    <xdr:from>
      <xdr:col>1</xdr:col>
      <xdr:colOff>76202</xdr:colOff>
      <xdr:row>13</xdr:row>
      <xdr:rowOff>10887</xdr:rowOff>
    </xdr:from>
    <xdr:to>
      <xdr:col>2</xdr:col>
      <xdr:colOff>10888</xdr:colOff>
      <xdr:row>14</xdr:row>
      <xdr:rowOff>10886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4" name="TextBox 23">
              <a:extLst>
                <a:ext uri="{FF2B5EF4-FFF2-40B4-BE49-F238E27FC236}">
                  <a16:creationId xmlns:a16="http://schemas.microsoft.com/office/drawing/2014/main" id="{2A92E11E-597B-4254-95F8-BE7DFA4C8BF5}"/>
                </a:ext>
              </a:extLst>
            </xdr:cNvPr>
            <xdr:cNvSpPr txBox="1"/>
          </xdr:nvSpPr>
          <xdr:spPr>
            <a:xfrm>
              <a:off x="396242" y="4095207"/>
              <a:ext cx="2274026" cy="34289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14:m>
                <m:oMath xmlns:m="http://schemas.openxmlformats.org/officeDocument/2006/math">
                  <m:r>
                    <a:rPr lang="th-TH" sz="1400" b="0" i="1">
                      <a:latin typeface="Cambria Math" panose="02040503050406030204" pitchFamily="18" charset="0"/>
                    </a:rPr>
                    <m:t>ใส่ค่าระยะหน้ากว้างเสา</m:t>
                  </m:r>
                  <m:r>
                    <a:rPr lang="en-US" sz="1400" b="0" i="1">
                      <a:latin typeface="Cambria Math" panose="02040503050406030204" pitchFamily="18" charset="0"/>
                    </a:rPr>
                    <m:t> </m:t>
                  </m:r>
                  <m:r>
                    <a:rPr lang="en-US" sz="1400" b="0" i="1">
                      <a:latin typeface="Cambria Math" panose="02040503050406030204" pitchFamily="18" charset="0"/>
                    </a:rPr>
                    <m:t>𝑏</m:t>
                  </m:r>
                  <m:r>
                    <a:rPr lang="en-US" sz="1400" b="0" i="1">
                      <a:latin typeface="Cambria Math" panose="02040503050406030204" pitchFamily="18" charset="0"/>
                    </a:rPr>
                    <m:t> </m:t>
                  </m:r>
                </m:oMath>
              </a14:m>
              <a:r>
                <a:rPr lang="en-US" sz="2400" b="0">
                  <a:latin typeface="TH Sarabun New" panose="020B0500040200020003" pitchFamily="34" charset="-34"/>
                  <a:cs typeface="TH Sarabun New" panose="020B0500040200020003" pitchFamily="34" charset="-34"/>
                </a:rPr>
                <a:t>=</a:t>
              </a:r>
              <a:endParaRPr lang="th-TH" sz="2400" b="0">
                <a:latin typeface="TH Sarabun New" panose="020B0500040200020003" pitchFamily="34" charset="-34"/>
                <a:cs typeface="TH Sarabun New" panose="020B0500040200020003" pitchFamily="34" charset="-34"/>
              </a:endParaRPr>
            </a:p>
          </xdr:txBody>
        </xdr:sp>
      </mc:Choice>
      <mc:Fallback xmlns="">
        <xdr:sp macro="" textlink="">
          <xdr:nvSpPr>
            <xdr:cNvPr id="24" name="TextBox 23">
              <a:extLst>
                <a:ext uri="{FF2B5EF4-FFF2-40B4-BE49-F238E27FC236}">
                  <a16:creationId xmlns:a16="http://schemas.microsoft.com/office/drawing/2014/main" id="{2A92E11E-597B-4254-95F8-BE7DFA4C8BF5}"/>
                </a:ext>
              </a:extLst>
            </xdr:cNvPr>
            <xdr:cNvSpPr txBox="1"/>
          </xdr:nvSpPr>
          <xdr:spPr>
            <a:xfrm>
              <a:off x="396242" y="4095207"/>
              <a:ext cx="2274026" cy="34289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r>
                <a:rPr lang="th-TH" sz="1400" b="0" i="0">
                  <a:latin typeface="Cambria Math" panose="02040503050406030204" pitchFamily="18" charset="0"/>
                </a:rPr>
                <a:t>ใส่ค่าระยะหน้ากว้างเสา</a:t>
              </a:r>
              <a:r>
                <a:rPr lang="en-US" sz="1400" b="0" i="0">
                  <a:latin typeface="Cambria Math" panose="02040503050406030204" pitchFamily="18" charset="0"/>
                </a:rPr>
                <a:t> 𝑏 </a:t>
              </a:r>
              <a:r>
                <a:rPr lang="en-US" sz="2400" b="0">
                  <a:latin typeface="TH Sarabun New" panose="020B0500040200020003" pitchFamily="34" charset="-34"/>
                  <a:cs typeface="TH Sarabun New" panose="020B0500040200020003" pitchFamily="34" charset="-34"/>
                </a:rPr>
                <a:t>=</a:t>
              </a:r>
              <a:endParaRPr lang="th-TH" sz="2400" b="0">
                <a:latin typeface="TH Sarabun New" panose="020B0500040200020003" pitchFamily="34" charset="-34"/>
                <a:cs typeface="TH Sarabun New" panose="020B0500040200020003" pitchFamily="34" charset="-34"/>
              </a:endParaRPr>
            </a:p>
          </xdr:txBody>
        </xdr:sp>
      </mc:Fallback>
    </mc:AlternateContent>
    <xdr:clientData/>
  </xdr:twoCellAnchor>
  <xdr:twoCellAnchor>
    <xdr:from>
      <xdr:col>1</xdr:col>
      <xdr:colOff>805546</xdr:colOff>
      <xdr:row>14</xdr:row>
      <xdr:rowOff>21775</xdr:rowOff>
    </xdr:from>
    <xdr:to>
      <xdr:col>2</xdr:col>
      <xdr:colOff>97973</xdr:colOff>
      <xdr:row>15</xdr:row>
      <xdr:rowOff>76202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5" name="TextBox 24">
              <a:extLst>
                <a:ext uri="{FF2B5EF4-FFF2-40B4-BE49-F238E27FC236}">
                  <a16:creationId xmlns:a16="http://schemas.microsoft.com/office/drawing/2014/main" id="{306B539C-3132-496B-95B1-4710D9D92C29}"/>
                </a:ext>
              </a:extLst>
            </xdr:cNvPr>
            <xdr:cNvSpPr txBox="1"/>
          </xdr:nvSpPr>
          <xdr:spPr>
            <a:xfrm>
              <a:off x="1125586" y="4448995"/>
              <a:ext cx="1631767" cy="3973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14:m>
                <m:oMath xmlns:m="http://schemas.openxmlformats.org/officeDocument/2006/math">
                  <m:r>
                    <a:rPr lang="th-TH" sz="1400" b="0" i="1">
                      <a:latin typeface="Cambria Math" panose="02040503050406030204" pitchFamily="18" charset="0"/>
                    </a:rPr>
                    <m:t>คำนวณหาค่า</m:t>
                  </m:r>
                  <m:r>
                    <a:rPr lang="en-US" sz="1400" b="0" i="1">
                      <a:latin typeface="Cambria Math" panose="02040503050406030204" pitchFamily="18" charset="0"/>
                    </a:rPr>
                    <m:t> </m:t>
                  </m:r>
                  <m:sSup>
                    <m:sSupPr>
                      <m:ctrlPr>
                        <a:rPr lang="en-US" sz="1400" b="0" i="1">
                          <a:latin typeface="Cambria Math" panose="02040503050406030204" pitchFamily="18" charset="0"/>
                        </a:rPr>
                      </m:ctrlPr>
                    </m:sSupPr>
                    <m:e>
                      <m:r>
                        <a:rPr lang="en-US" sz="1400" b="0" i="1">
                          <a:latin typeface="Cambria Math" panose="02040503050406030204" pitchFamily="18" charset="0"/>
                        </a:rPr>
                        <m:t>𝑐</m:t>
                      </m:r>
                    </m:e>
                    <m:sup>
                      <m:r>
                        <a:rPr lang="en-US" sz="1400" b="0" i="1">
                          <a:latin typeface="Cambria Math" panose="02040503050406030204" pitchFamily="18" charset="0"/>
                        </a:rPr>
                        <m:t>2</m:t>
                      </m:r>
                    </m:sup>
                  </m:sSup>
                </m:oMath>
              </a14:m>
              <a:r>
                <a:rPr lang="en-US" sz="2400" b="0">
                  <a:latin typeface="TH Sarabun New" panose="020B0500040200020003" pitchFamily="34" charset="-34"/>
                  <a:cs typeface="TH Sarabun New" panose="020B0500040200020003" pitchFamily="34" charset="-34"/>
                </a:rPr>
                <a:t>=</a:t>
              </a:r>
              <a:endParaRPr lang="th-TH" sz="2400" b="0">
                <a:latin typeface="TH Sarabun New" panose="020B0500040200020003" pitchFamily="34" charset="-34"/>
                <a:cs typeface="TH Sarabun New" panose="020B0500040200020003" pitchFamily="34" charset="-34"/>
              </a:endParaRPr>
            </a:p>
          </xdr:txBody>
        </xdr:sp>
      </mc:Choice>
      <mc:Fallback xmlns="">
        <xdr:sp macro="" textlink="">
          <xdr:nvSpPr>
            <xdr:cNvPr id="25" name="TextBox 24">
              <a:extLst>
                <a:ext uri="{FF2B5EF4-FFF2-40B4-BE49-F238E27FC236}">
                  <a16:creationId xmlns:a16="http://schemas.microsoft.com/office/drawing/2014/main" id="{306B539C-3132-496B-95B1-4710D9D92C29}"/>
                </a:ext>
              </a:extLst>
            </xdr:cNvPr>
            <xdr:cNvSpPr txBox="1"/>
          </xdr:nvSpPr>
          <xdr:spPr>
            <a:xfrm>
              <a:off x="1125586" y="4448995"/>
              <a:ext cx="1631767" cy="3973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r>
                <a:rPr lang="th-TH" sz="1400" b="0" i="0">
                  <a:latin typeface="Cambria Math" panose="02040503050406030204" pitchFamily="18" charset="0"/>
                </a:rPr>
                <a:t>คำนวณหาค่า</a:t>
              </a:r>
              <a:r>
                <a:rPr lang="en-US" sz="1400" b="0" i="0">
                  <a:latin typeface="Cambria Math" panose="02040503050406030204" pitchFamily="18" charset="0"/>
                </a:rPr>
                <a:t> 𝑐</a:t>
              </a:r>
              <a:r>
                <a:rPr lang="th-TH" sz="1400" b="0" i="0">
                  <a:latin typeface="Cambria Math" panose="02040503050406030204" pitchFamily="18" charset="0"/>
                </a:rPr>
                <a:t>^</a:t>
              </a:r>
              <a:r>
                <a:rPr lang="en-US" sz="1400" b="0" i="0">
                  <a:latin typeface="Cambria Math" panose="02040503050406030204" pitchFamily="18" charset="0"/>
                </a:rPr>
                <a:t>2</a:t>
              </a:r>
              <a:r>
                <a:rPr lang="en-US" sz="2400" b="0">
                  <a:latin typeface="TH Sarabun New" panose="020B0500040200020003" pitchFamily="34" charset="-34"/>
                  <a:cs typeface="TH Sarabun New" panose="020B0500040200020003" pitchFamily="34" charset="-34"/>
                </a:rPr>
                <a:t>=</a:t>
              </a:r>
              <a:endParaRPr lang="th-TH" sz="2400" b="0">
                <a:latin typeface="TH Sarabun New" panose="020B0500040200020003" pitchFamily="34" charset="-34"/>
                <a:cs typeface="TH Sarabun New" panose="020B0500040200020003" pitchFamily="34" charset="-34"/>
              </a:endParaRPr>
            </a:p>
          </xdr:txBody>
        </xdr:sp>
      </mc:Fallback>
    </mc:AlternateContent>
    <xdr:clientData/>
  </xdr:twoCellAnchor>
  <xdr:twoCellAnchor>
    <xdr:from>
      <xdr:col>5</xdr:col>
      <xdr:colOff>1989666</xdr:colOff>
      <xdr:row>10</xdr:row>
      <xdr:rowOff>317501</xdr:rowOff>
    </xdr:from>
    <xdr:to>
      <xdr:col>7</xdr:col>
      <xdr:colOff>154213</xdr:colOff>
      <xdr:row>12</xdr:row>
      <xdr:rowOff>45359</xdr:rowOff>
    </xdr:to>
    <xdr:grpSp>
      <xdr:nvGrpSpPr>
        <xdr:cNvPr id="29" name="Group 28">
          <a:extLst>
            <a:ext uri="{FF2B5EF4-FFF2-40B4-BE49-F238E27FC236}">
              <a16:creationId xmlns:a16="http://schemas.microsoft.com/office/drawing/2014/main" id="{6692F940-926E-4020-A268-C48D5DC926CE}"/>
            </a:ext>
          </a:extLst>
        </xdr:cNvPr>
        <xdr:cNvGrpSpPr/>
      </xdr:nvGrpSpPr>
      <xdr:grpSpPr>
        <a:xfrm>
          <a:off x="9406466" y="3644901"/>
          <a:ext cx="1999947" cy="502558"/>
          <a:chOff x="715617" y="1822174"/>
          <a:chExt cx="1543880" cy="337930"/>
        </a:xfrm>
      </xdr:grpSpPr>
      <xdr:cxnSp macro="">
        <xdr:nvCxnSpPr>
          <xdr:cNvPr id="30" name="Straight Arrow Connector 29">
            <a:extLst>
              <a:ext uri="{FF2B5EF4-FFF2-40B4-BE49-F238E27FC236}">
                <a16:creationId xmlns:a16="http://schemas.microsoft.com/office/drawing/2014/main" id="{96006EF0-A5AC-B0DB-C914-83A132C4320F}"/>
              </a:ext>
            </a:extLst>
          </xdr:cNvPr>
          <xdr:cNvCxnSpPr/>
        </xdr:nvCxnSpPr>
        <xdr:spPr>
          <a:xfrm>
            <a:off x="715617" y="1994452"/>
            <a:ext cx="0" cy="165652"/>
          </a:xfrm>
          <a:prstGeom prst="straightConnector1">
            <a:avLst/>
          </a:prstGeom>
          <a:ln w="12700">
            <a:solidFill>
              <a:srgbClr val="FF00FF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31" name="Straight Connector 30">
            <a:extLst>
              <a:ext uri="{FF2B5EF4-FFF2-40B4-BE49-F238E27FC236}">
                <a16:creationId xmlns:a16="http://schemas.microsoft.com/office/drawing/2014/main" id="{76675C12-800C-56AD-CC76-5F5F3A06E4B7}"/>
              </a:ext>
            </a:extLst>
          </xdr:cNvPr>
          <xdr:cNvCxnSpPr/>
        </xdr:nvCxnSpPr>
        <xdr:spPr>
          <a:xfrm>
            <a:off x="715617" y="1994452"/>
            <a:ext cx="1537253" cy="0"/>
          </a:xfrm>
          <a:prstGeom prst="line">
            <a:avLst/>
          </a:prstGeom>
          <a:ln w="12700">
            <a:solidFill>
              <a:srgbClr val="FF00FF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32" name="Straight Arrow Connector 31">
            <a:extLst>
              <a:ext uri="{FF2B5EF4-FFF2-40B4-BE49-F238E27FC236}">
                <a16:creationId xmlns:a16="http://schemas.microsoft.com/office/drawing/2014/main" id="{A70FE4EC-793D-7910-34E5-903C67C2B13C}"/>
              </a:ext>
            </a:extLst>
          </xdr:cNvPr>
          <xdr:cNvCxnSpPr/>
        </xdr:nvCxnSpPr>
        <xdr:spPr>
          <a:xfrm flipV="1">
            <a:off x="2252870" y="1822174"/>
            <a:ext cx="6627" cy="172278"/>
          </a:xfrm>
          <a:prstGeom prst="straightConnector1">
            <a:avLst/>
          </a:prstGeom>
          <a:ln w="12700">
            <a:solidFill>
              <a:srgbClr val="FF00FF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5</xdr:col>
      <xdr:colOff>743857</xdr:colOff>
      <xdr:row>12</xdr:row>
      <xdr:rowOff>290284</xdr:rowOff>
    </xdr:from>
    <xdr:to>
      <xdr:col>7</xdr:col>
      <xdr:colOff>154214</xdr:colOff>
      <xdr:row>15</xdr:row>
      <xdr:rowOff>90713</xdr:rowOff>
    </xdr:to>
    <xdr:grpSp>
      <xdr:nvGrpSpPr>
        <xdr:cNvPr id="33" name="Group 32">
          <a:extLst>
            <a:ext uri="{FF2B5EF4-FFF2-40B4-BE49-F238E27FC236}">
              <a16:creationId xmlns:a16="http://schemas.microsoft.com/office/drawing/2014/main" id="{8096CDA8-0EBE-4F0F-9482-5D8D58139507}"/>
            </a:ext>
          </a:extLst>
        </xdr:cNvPr>
        <xdr:cNvGrpSpPr/>
      </xdr:nvGrpSpPr>
      <xdr:grpSpPr>
        <a:xfrm>
          <a:off x="8160657" y="4392384"/>
          <a:ext cx="3245757" cy="854529"/>
          <a:chOff x="702365" y="3074504"/>
          <a:chExt cx="1543880" cy="344557"/>
        </a:xfrm>
      </xdr:grpSpPr>
      <xdr:cxnSp macro="">
        <xdr:nvCxnSpPr>
          <xdr:cNvPr id="34" name="Straight Arrow Connector 33">
            <a:extLst>
              <a:ext uri="{FF2B5EF4-FFF2-40B4-BE49-F238E27FC236}">
                <a16:creationId xmlns:a16="http://schemas.microsoft.com/office/drawing/2014/main" id="{4865D092-6A06-4546-F336-34282C825A14}"/>
              </a:ext>
            </a:extLst>
          </xdr:cNvPr>
          <xdr:cNvCxnSpPr/>
        </xdr:nvCxnSpPr>
        <xdr:spPr>
          <a:xfrm>
            <a:off x="702365" y="3253409"/>
            <a:ext cx="0" cy="165652"/>
          </a:xfrm>
          <a:prstGeom prst="straightConnector1">
            <a:avLst/>
          </a:prstGeom>
          <a:ln w="12700">
            <a:solidFill>
              <a:srgbClr val="FF00FF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35" name="Straight Connector 34">
            <a:extLst>
              <a:ext uri="{FF2B5EF4-FFF2-40B4-BE49-F238E27FC236}">
                <a16:creationId xmlns:a16="http://schemas.microsoft.com/office/drawing/2014/main" id="{DD5C74AC-F64F-CCDC-40F0-8A1BD44B5B58}"/>
              </a:ext>
            </a:extLst>
          </xdr:cNvPr>
          <xdr:cNvCxnSpPr/>
        </xdr:nvCxnSpPr>
        <xdr:spPr>
          <a:xfrm>
            <a:off x="702365" y="3253409"/>
            <a:ext cx="1537253" cy="0"/>
          </a:xfrm>
          <a:prstGeom prst="line">
            <a:avLst/>
          </a:prstGeom>
          <a:ln w="12700">
            <a:solidFill>
              <a:srgbClr val="FF00FF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36" name="Straight Arrow Connector 35">
            <a:extLst>
              <a:ext uri="{FF2B5EF4-FFF2-40B4-BE49-F238E27FC236}">
                <a16:creationId xmlns:a16="http://schemas.microsoft.com/office/drawing/2014/main" id="{116E569A-1CD9-CBB5-95E2-FD68B9C9620C}"/>
              </a:ext>
            </a:extLst>
          </xdr:cNvPr>
          <xdr:cNvCxnSpPr/>
        </xdr:nvCxnSpPr>
        <xdr:spPr>
          <a:xfrm flipV="1">
            <a:off x="2239618" y="3074504"/>
            <a:ext cx="6627" cy="178905"/>
          </a:xfrm>
          <a:prstGeom prst="straightConnector1">
            <a:avLst/>
          </a:prstGeom>
          <a:ln w="12700">
            <a:solidFill>
              <a:srgbClr val="FF00FF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oneCellAnchor>
    <xdr:from>
      <xdr:col>8</xdr:col>
      <xdr:colOff>765932</xdr:colOff>
      <xdr:row>7</xdr:row>
      <xdr:rowOff>172657</xdr:rowOff>
    </xdr:from>
    <xdr:ext cx="990599" cy="37011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7" name="TextBox 36">
              <a:extLst>
                <a:ext uri="{FF2B5EF4-FFF2-40B4-BE49-F238E27FC236}">
                  <a16:creationId xmlns:a16="http://schemas.microsoft.com/office/drawing/2014/main" id="{F1A1E520-348A-454D-A72B-E7CF5B370DB2}"/>
                </a:ext>
              </a:extLst>
            </xdr:cNvPr>
            <xdr:cNvSpPr txBox="1"/>
          </xdr:nvSpPr>
          <xdr:spPr>
            <a:xfrm>
              <a:off x="11804349" y="2437490"/>
              <a:ext cx="990599" cy="37011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14:m>
                <m:oMath xmlns:m="http://schemas.openxmlformats.org/officeDocument/2006/math">
                  <m:sSup>
                    <m:sSupPr>
                      <m:ctrlPr>
                        <a:rPr lang="en-US" sz="2000" b="0" i="1">
                          <a:latin typeface="Cambria Math" panose="02040503050406030204" pitchFamily="18" charset="0"/>
                        </a:rPr>
                      </m:ctrlPr>
                    </m:sSupPr>
                    <m:e>
                      <m:r>
                        <a:rPr lang="en-US" sz="2000" b="0" i="1">
                          <a:latin typeface="Cambria Math" panose="02040503050406030204" pitchFamily="18" charset="0"/>
                        </a:rPr>
                        <m:t>𝑎</m:t>
                      </m:r>
                    </m:e>
                    <m:sup>
                      <m:r>
                        <a:rPr lang="en-US" sz="2000" b="0" i="1">
                          <a:latin typeface="Cambria Math" panose="02040503050406030204" pitchFamily="18" charset="0"/>
                        </a:rPr>
                        <m:t>2</m:t>
                      </m:r>
                    </m:sup>
                  </m:sSup>
                  <m:r>
                    <a:rPr lang="en-US" sz="2000" b="0" i="1">
                      <a:latin typeface="Cambria Math" panose="02040503050406030204" pitchFamily="18" charset="0"/>
                    </a:rPr>
                    <m:t>+</m:t>
                  </m:r>
                  <m:sSup>
                    <m:sSupPr>
                      <m:ctrlPr>
                        <a:rPr lang="en-US" sz="2000" b="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pPr>
                    <m:e>
                      <m:r>
                        <a:rPr lang="en-US" sz="2000" b="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𝑏</m:t>
                      </m:r>
                    </m:e>
                    <m:sup>
                      <m:r>
                        <a:rPr lang="en-US" sz="2000" b="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2</m:t>
                      </m:r>
                    </m:sup>
                  </m:sSup>
                </m:oMath>
              </a14:m>
              <a:r>
                <a:rPr lang="en-US" sz="1800" b="0">
                  <a:latin typeface="TH Sarabun New" panose="020B0500040200020003" pitchFamily="34" charset="-34"/>
                  <a:cs typeface="TH Sarabun New" panose="020B0500040200020003" pitchFamily="34" charset="-34"/>
                </a:rPr>
                <a:t>=</a:t>
              </a:r>
              <a:endParaRPr lang="th-TH" sz="1800" b="0">
                <a:latin typeface="TH Sarabun New" panose="020B0500040200020003" pitchFamily="34" charset="-34"/>
                <a:cs typeface="TH Sarabun New" panose="020B0500040200020003" pitchFamily="34" charset="-34"/>
              </a:endParaRPr>
            </a:p>
          </xdr:txBody>
        </xdr:sp>
      </mc:Choice>
      <mc:Fallback xmlns="">
        <xdr:sp macro="" textlink="">
          <xdr:nvSpPr>
            <xdr:cNvPr id="37" name="TextBox 36">
              <a:extLst>
                <a:ext uri="{FF2B5EF4-FFF2-40B4-BE49-F238E27FC236}">
                  <a16:creationId xmlns:a16="http://schemas.microsoft.com/office/drawing/2014/main" id="{F1A1E520-348A-454D-A72B-E7CF5B370DB2}"/>
                </a:ext>
              </a:extLst>
            </xdr:cNvPr>
            <xdr:cNvSpPr txBox="1"/>
          </xdr:nvSpPr>
          <xdr:spPr>
            <a:xfrm>
              <a:off x="11804349" y="2437490"/>
              <a:ext cx="990599" cy="37011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r>
                <a:rPr lang="en-US" sz="2000" b="0" i="0">
                  <a:latin typeface="Cambria Math" panose="02040503050406030204" pitchFamily="18" charset="0"/>
                </a:rPr>
                <a:t>𝑎</a:t>
              </a:r>
              <a:r>
                <a:rPr lang="th-TH" sz="2000" b="0" i="0">
                  <a:latin typeface="Cambria Math" panose="02040503050406030204" pitchFamily="18" charset="0"/>
                </a:rPr>
                <a:t>^</a:t>
              </a:r>
              <a:r>
                <a:rPr lang="en-US" sz="2000" b="0" i="0">
                  <a:latin typeface="Cambria Math" panose="02040503050406030204" pitchFamily="18" charset="0"/>
                </a:rPr>
                <a:t>2+</a:t>
              </a:r>
              <a:r>
                <a:rPr lang="en-US" sz="20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𝑏</a:t>
              </a:r>
              <a:r>
                <a:rPr lang="th-TH" sz="20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^</a:t>
              </a:r>
              <a:r>
                <a:rPr lang="en-US" sz="20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2</a:t>
              </a:r>
              <a:r>
                <a:rPr lang="en-US" sz="1800" b="0">
                  <a:latin typeface="TH Sarabun New" panose="020B0500040200020003" pitchFamily="34" charset="-34"/>
                  <a:cs typeface="TH Sarabun New" panose="020B0500040200020003" pitchFamily="34" charset="-34"/>
                </a:rPr>
                <a:t>=</a:t>
              </a:r>
              <a:endParaRPr lang="th-TH" sz="1800" b="0">
                <a:latin typeface="TH Sarabun New" panose="020B0500040200020003" pitchFamily="34" charset="-34"/>
                <a:cs typeface="TH Sarabun New" panose="020B0500040200020003" pitchFamily="34" charset="-34"/>
              </a:endParaRPr>
            </a:p>
          </xdr:txBody>
        </xdr:sp>
      </mc:Fallback>
    </mc:AlternateContent>
    <xdr:clientData/>
  </xdr:oneCellAnchor>
  <xdr:oneCellAnchor>
    <xdr:from>
      <xdr:col>5</xdr:col>
      <xdr:colOff>210458</xdr:colOff>
      <xdr:row>10</xdr:row>
      <xdr:rowOff>65314</xdr:rowOff>
    </xdr:from>
    <xdr:ext cx="1208313" cy="30480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8" name="TextBox 37">
              <a:extLst>
                <a:ext uri="{FF2B5EF4-FFF2-40B4-BE49-F238E27FC236}">
                  <a16:creationId xmlns:a16="http://schemas.microsoft.com/office/drawing/2014/main" id="{6A9CBB6A-498D-490D-8A9E-3C7471D002C6}"/>
                </a:ext>
              </a:extLst>
            </xdr:cNvPr>
            <xdr:cNvSpPr txBox="1"/>
          </xdr:nvSpPr>
          <xdr:spPr>
            <a:xfrm>
              <a:off x="7503887" y="4165600"/>
              <a:ext cx="1208313" cy="3048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left"/>
                  </m:oMathParaPr>
                  <m:oMath>
                    <m:r>
                      <a:rPr lang="en-US" sz="1600" b="0" i="1">
                        <a:latin typeface="Cambria Math" panose="02040503050406030204" pitchFamily="18" charset="0"/>
                      </a:rPr>
                      <m:t>[2∗</m:t>
                    </m:r>
                    <m:r>
                      <a:rPr lang="en-US" sz="1600" b="0" i="1">
                        <a:latin typeface="Cambria Math" panose="02040503050406030204" pitchFamily="18" charset="0"/>
                      </a:rPr>
                      <m:t>𝑎</m:t>
                    </m:r>
                    <m:r>
                      <a:rPr lang="en-US" sz="1600" b="0" i="1">
                        <a:latin typeface="Cambria Math" panose="02040503050406030204" pitchFamily="18" charset="0"/>
                      </a:rPr>
                      <m:t>∗</m:t>
                    </m:r>
                    <m:r>
                      <a:rPr lang="en-US" sz="1600" b="0" i="1">
                        <a:latin typeface="Cambria Math" panose="02040503050406030204" pitchFamily="18" charset="0"/>
                      </a:rPr>
                      <m:t>𝑏</m:t>
                    </m:r>
                    <m:r>
                      <a:rPr lang="en-US" sz="1600" b="0" i="1">
                        <a:latin typeface="Cambria Math" panose="02040503050406030204" pitchFamily="18" charset="0"/>
                      </a:rPr>
                      <m:t>∗0]=</m:t>
                    </m:r>
                  </m:oMath>
                </m:oMathPara>
              </a14:m>
              <a:endParaRPr lang="th-TH" sz="1800" b="0">
                <a:latin typeface="TH Sarabun New" panose="020B0500040200020003" pitchFamily="34" charset="-34"/>
                <a:cs typeface="TH Sarabun New" panose="020B0500040200020003" pitchFamily="34" charset="-34"/>
              </a:endParaRPr>
            </a:p>
          </xdr:txBody>
        </xdr:sp>
      </mc:Choice>
      <mc:Fallback xmlns="">
        <xdr:sp macro="" textlink="">
          <xdr:nvSpPr>
            <xdr:cNvPr id="38" name="TextBox 37">
              <a:extLst>
                <a:ext uri="{FF2B5EF4-FFF2-40B4-BE49-F238E27FC236}">
                  <a16:creationId xmlns:a16="http://schemas.microsoft.com/office/drawing/2014/main" id="{6A9CBB6A-498D-490D-8A9E-3C7471D002C6}"/>
                </a:ext>
              </a:extLst>
            </xdr:cNvPr>
            <xdr:cNvSpPr txBox="1"/>
          </xdr:nvSpPr>
          <xdr:spPr>
            <a:xfrm>
              <a:off x="7503887" y="4165600"/>
              <a:ext cx="1208313" cy="3048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/>
              <a:r>
                <a:rPr lang="en-US" sz="1600" b="0" i="0">
                  <a:latin typeface="Cambria Math" panose="02040503050406030204" pitchFamily="18" charset="0"/>
                </a:rPr>
                <a:t>[2∗𝑎∗𝑏∗</a:t>
              </a:r>
              <a:r>
                <a:rPr lang="en-US" sz="1600" b="0" i="0">
                  <a:solidFill>
                    <a:srgbClr val="FF0000"/>
                  </a:solidFill>
                  <a:latin typeface="Cambria Math" panose="02040503050406030204" pitchFamily="18" charset="0"/>
                </a:rPr>
                <a:t>0</a:t>
              </a:r>
              <a:r>
                <a:rPr lang="en-US" sz="1600" b="0" i="0">
                  <a:latin typeface="Cambria Math" panose="02040503050406030204" pitchFamily="18" charset="0"/>
                </a:rPr>
                <a:t>]=</a:t>
              </a:r>
              <a:endParaRPr lang="th-TH" sz="1800" b="0">
                <a:latin typeface="TH Sarabun New" panose="020B0500040200020003" pitchFamily="34" charset="-34"/>
                <a:cs typeface="TH Sarabun New" panose="020B0500040200020003" pitchFamily="34" charset="-34"/>
              </a:endParaRPr>
            </a:p>
          </xdr:txBody>
        </xdr:sp>
      </mc:Fallback>
    </mc:AlternateContent>
    <xdr:clientData/>
  </xdr:oneCellAnchor>
  <xdr:twoCellAnchor>
    <xdr:from>
      <xdr:col>7</xdr:col>
      <xdr:colOff>27215</xdr:colOff>
      <xdr:row>8</xdr:row>
      <xdr:rowOff>0</xdr:rowOff>
    </xdr:from>
    <xdr:to>
      <xdr:col>8</xdr:col>
      <xdr:colOff>666750</xdr:colOff>
      <xdr:row>8</xdr:row>
      <xdr:rowOff>6048</xdr:rowOff>
    </xdr:to>
    <xdr:cxnSp macro="">
      <xdr:nvCxnSpPr>
        <xdr:cNvPr id="39" name="Straight Arrow Connector 38">
          <a:extLst>
            <a:ext uri="{FF2B5EF4-FFF2-40B4-BE49-F238E27FC236}">
              <a16:creationId xmlns:a16="http://schemas.microsoft.com/office/drawing/2014/main" id="{3E872569-6CDF-4097-81AB-6859EE8BB64D}"/>
            </a:ext>
          </a:extLst>
        </xdr:cNvPr>
        <xdr:cNvCxnSpPr/>
      </xdr:nvCxnSpPr>
      <xdr:spPr>
        <a:xfrm flipV="1">
          <a:off x="10674048" y="2603500"/>
          <a:ext cx="1031119" cy="6048"/>
        </a:xfrm>
        <a:prstGeom prst="straightConnector1">
          <a:avLst/>
        </a:prstGeom>
        <a:ln w="9525">
          <a:solidFill>
            <a:srgbClr val="FF00FF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105229</xdr:colOff>
      <xdr:row>0</xdr:row>
      <xdr:rowOff>254000</xdr:rowOff>
    </xdr:from>
    <xdr:to>
      <xdr:col>3</xdr:col>
      <xdr:colOff>1894115</xdr:colOff>
      <xdr:row>2</xdr:row>
      <xdr:rowOff>94343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2" name="TextBox 61">
              <a:extLst>
                <a:ext uri="{FF2B5EF4-FFF2-40B4-BE49-F238E27FC236}">
                  <a16:creationId xmlns:a16="http://schemas.microsoft.com/office/drawing/2014/main" id="{AB5D8150-2881-4318-B9A3-EA6808888F6F}"/>
                </a:ext>
              </a:extLst>
            </xdr:cNvPr>
            <xdr:cNvSpPr txBox="1"/>
          </xdr:nvSpPr>
          <xdr:spPr>
            <a:xfrm>
              <a:off x="422729" y="254000"/>
              <a:ext cx="5988957" cy="5297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14:m>
                <m:oMath xmlns:m="http://schemas.openxmlformats.org/officeDocument/2006/math">
                  <m:sSup>
                    <m:sSupPr>
                      <m:ctrlPr>
                        <a:rPr lang="th-TH" sz="2400" b="0" i="1">
                          <a:latin typeface="Cambria Math" panose="02040503050406030204" pitchFamily="18" charset="0"/>
                        </a:rPr>
                      </m:ctrlPr>
                    </m:sSupPr>
                    <m:e>
                      <m:r>
                        <a:rPr lang="th-TH" sz="2400" b="0" i="1">
                          <a:latin typeface="Cambria Math" panose="02040503050406030204" pitchFamily="18" charset="0"/>
                        </a:rPr>
                        <m:t>การคำนวนสามเหลี่ยมมุมฉาก  </m:t>
                      </m:r>
                      <m:r>
                        <a:rPr lang="en-US" sz="2400" b="0" i="1">
                          <a:latin typeface="Cambria Math" panose="02040503050406030204" pitchFamily="18" charset="0"/>
                        </a:rPr>
                        <m:t>𝑐</m:t>
                      </m:r>
                    </m:e>
                    <m:sup>
                      <m:r>
                        <a:rPr lang="en-US" sz="2400" b="0" i="1">
                          <a:latin typeface="Cambria Math" panose="02040503050406030204" pitchFamily="18" charset="0"/>
                        </a:rPr>
                        <m:t>2</m:t>
                      </m:r>
                    </m:sup>
                  </m:sSup>
                </m:oMath>
              </a14:m>
              <a:r>
                <a:rPr lang="en-US" sz="2400" b="0">
                  <a:latin typeface="TH Sarabun New" panose="020B0500040200020003" pitchFamily="34" charset="-34"/>
                  <a:cs typeface="TH Sarabun New" panose="020B0500040200020003" pitchFamily="34" charset="-34"/>
                </a:rPr>
                <a:t>= </a:t>
              </a:r>
              <a14:m>
                <m:oMath xmlns:m="http://schemas.openxmlformats.org/officeDocument/2006/math">
                  <m:rad>
                    <m:radPr>
                      <m:degHide m:val="on"/>
                      <m:ctrlPr>
                        <a:rPr kumimoji="0" lang="th-TH" sz="2400" b="0" i="1" u="none" strike="noStrike" kern="0" cap="none" spc="0" normalizeH="0" baseline="0" noProof="0">
                          <a:ln>
                            <a:noFill/>
                          </a:ln>
                          <a:solidFill>
                            <a:prstClr val="black"/>
                          </a:solidFill>
                          <a:effectLst/>
                          <a:uLnTx/>
                          <a:uFillTx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radPr>
                    <m:deg/>
                    <m:e>
                      <m:sSup>
                        <m:sSupPr>
                          <m:ctrlPr>
                            <a:rPr kumimoji="0" lang="en-US" sz="2400" b="0" i="1" u="none" strike="noStrike" kern="0" cap="none" spc="0" normalizeH="0" baseline="0" noProof="0">
                              <a:ln>
                                <a:noFill/>
                              </a:ln>
                              <a:solidFill>
                                <a:prstClr val="black"/>
                              </a:solidFill>
                              <a:effectLst/>
                              <a:uLnTx/>
                              <a:uFillTx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</m:ctrlPr>
                        </m:sSupPr>
                        <m:e>
                          <m:sSup>
                            <m:sSupPr>
                              <m:ctrlPr>
                                <a:rPr kumimoji="0" lang="en-US" sz="2400" b="0" i="1" u="none" strike="noStrike" kern="0" cap="none" spc="0" normalizeH="0" baseline="0" noProof="0">
                                  <a:ln>
                                    <a:noFill/>
                                  </a:ln>
                                  <a:solidFill>
                                    <a:prstClr val="black"/>
                                  </a:solidFill>
                                  <a:effectLst/>
                                  <a:uLnTx/>
                                  <a:uFillTx/>
                                  <a:latin typeface="Cambria Math" panose="02040503050406030204" pitchFamily="18" charset="0"/>
                                  <a:ea typeface="+mn-ea"/>
                                  <a:cs typeface="+mn-cs"/>
                                </a:rPr>
                              </m:ctrlPr>
                            </m:sSupPr>
                            <m:e>
                              <m:r>
                                <a:rPr kumimoji="0" lang="en-US" sz="2400" b="0" i="1" u="none" strike="noStrike" kern="0" cap="none" spc="0" normalizeH="0" baseline="0" noProof="0">
                                  <a:ln>
                                    <a:noFill/>
                                  </a:ln>
                                  <a:solidFill>
                                    <a:prstClr val="black"/>
                                  </a:solidFill>
                                  <a:effectLst/>
                                  <a:uLnTx/>
                                  <a:uFillTx/>
                                  <a:latin typeface="Cambria Math" panose="02040503050406030204" pitchFamily="18" charset="0"/>
                                  <a:ea typeface="+mn-ea"/>
                                  <a:cs typeface="+mn-cs"/>
                                </a:rPr>
                                <m:t>𝑎</m:t>
                              </m:r>
                            </m:e>
                            <m:sup>
                              <m:r>
                                <a:rPr kumimoji="0" lang="en-US" sz="2400" b="0" i="1" u="none" strike="noStrike" kern="0" cap="none" spc="0" normalizeH="0" baseline="0" noProof="0">
                                  <a:ln>
                                    <a:noFill/>
                                  </a:ln>
                                  <a:solidFill>
                                    <a:prstClr val="black"/>
                                  </a:solidFill>
                                  <a:effectLst/>
                                  <a:uLnTx/>
                                  <a:uFillTx/>
                                  <a:latin typeface="Cambria Math" panose="02040503050406030204" pitchFamily="18" charset="0"/>
                                  <a:ea typeface="+mn-ea"/>
                                  <a:cs typeface="+mn-cs"/>
                                </a:rPr>
                                <m:t>2</m:t>
                              </m:r>
                            </m:sup>
                          </m:sSup>
                          <m:r>
                            <a:rPr kumimoji="0" lang="en-US" sz="2400" b="0" i="1" u="none" strike="noStrike" kern="0" cap="none" spc="0" normalizeH="0" baseline="0" noProof="0">
                              <a:ln>
                                <a:noFill/>
                              </a:ln>
                              <a:solidFill>
                                <a:prstClr val="black"/>
                              </a:solidFill>
                              <a:effectLst/>
                              <a:uLnTx/>
                              <a:uFillTx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+</m:t>
                          </m:r>
                          <m:r>
                            <a:rPr kumimoji="0" lang="en-US" sz="2400" b="0" i="1" u="none" strike="noStrike" kern="0" cap="none" spc="0" normalizeH="0" baseline="0" noProof="0">
                              <a:ln>
                                <a:noFill/>
                              </a:ln>
                              <a:solidFill>
                                <a:prstClr val="black"/>
                              </a:solidFill>
                              <a:effectLst/>
                              <a:uLnTx/>
                              <a:uFillTx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𝑏</m:t>
                          </m:r>
                        </m:e>
                        <m:sup>
                          <m:r>
                            <a:rPr kumimoji="0" lang="en-US" sz="2400" b="0" i="1" u="none" strike="noStrike" kern="0" cap="none" spc="0" normalizeH="0" baseline="0" noProof="0">
                              <a:ln>
                                <a:noFill/>
                              </a:ln>
                              <a:solidFill>
                                <a:prstClr val="black"/>
                              </a:solidFill>
                              <a:effectLst/>
                              <a:uLnTx/>
                              <a:uFillTx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2</m:t>
                          </m:r>
                        </m:sup>
                      </m:sSup>
                    </m:e>
                  </m:rad>
                </m:oMath>
              </a14:m>
              <a:endParaRPr lang="th-TH" sz="2400" b="1">
                <a:latin typeface="TH Sarabun New" panose="020B0500040200020003" pitchFamily="34" charset="-34"/>
                <a:cs typeface="TH Sarabun New" panose="020B0500040200020003" pitchFamily="34" charset="-34"/>
              </a:endParaRPr>
            </a:p>
          </xdr:txBody>
        </xdr:sp>
      </mc:Choice>
      <mc:Fallback xmlns="">
        <xdr:sp macro="" textlink="">
          <xdr:nvSpPr>
            <xdr:cNvPr id="62" name="TextBox 61">
              <a:extLst>
                <a:ext uri="{FF2B5EF4-FFF2-40B4-BE49-F238E27FC236}">
                  <a16:creationId xmlns:a16="http://schemas.microsoft.com/office/drawing/2014/main" id="{AB5D8150-2881-4318-B9A3-EA6808888F6F}"/>
                </a:ext>
              </a:extLst>
            </xdr:cNvPr>
            <xdr:cNvSpPr txBox="1"/>
          </xdr:nvSpPr>
          <xdr:spPr>
            <a:xfrm>
              <a:off x="422729" y="254000"/>
              <a:ext cx="5988957" cy="5297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r>
                <a:rPr lang="th-TH" sz="2400" b="0" i="0">
                  <a:latin typeface="Cambria Math" panose="02040503050406030204" pitchFamily="18" charset="0"/>
                </a:rPr>
                <a:t>〖การคำนวนสามเหลี่ยมมุมฉาก  </a:t>
              </a:r>
              <a:r>
                <a:rPr lang="en-US" sz="2400" b="0" i="0">
                  <a:latin typeface="Cambria Math" panose="02040503050406030204" pitchFamily="18" charset="0"/>
                </a:rPr>
                <a:t>𝑐</a:t>
              </a:r>
              <a:r>
                <a:rPr lang="th-TH" sz="2400" b="0" i="0">
                  <a:latin typeface="Cambria Math" panose="02040503050406030204" pitchFamily="18" charset="0"/>
                </a:rPr>
                <a:t>〗^</a:t>
              </a:r>
              <a:r>
                <a:rPr lang="en-US" sz="2400" b="0" i="0">
                  <a:latin typeface="Cambria Math" panose="02040503050406030204" pitchFamily="18" charset="0"/>
                </a:rPr>
                <a:t>2</a:t>
              </a:r>
              <a:r>
                <a:rPr lang="en-US" sz="2400" b="0">
                  <a:latin typeface="TH Sarabun New" panose="020B0500040200020003" pitchFamily="34" charset="-34"/>
                  <a:cs typeface="TH Sarabun New" panose="020B0500040200020003" pitchFamily="34" charset="-34"/>
                </a:rPr>
                <a:t>= </a:t>
              </a:r>
              <a:r>
                <a:rPr kumimoji="0" lang="th-TH" sz="2400" b="0" i="0" u="none" strike="noStrike" kern="0" cap="none" spc="0" normalizeH="0" baseline="0" noProof="0">
                  <a:ln>
                    <a:noFill/>
                  </a:ln>
                  <a:solidFill>
                    <a:prstClr val="black"/>
                  </a:solidFill>
                  <a:effectLst/>
                  <a:uLnTx/>
                  <a:uFillTx/>
                  <a:latin typeface="Cambria Math" panose="02040503050406030204" pitchFamily="18" charset="0"/>
                  <a:ea typeface="+mn-ea"/>
                  <a:cs typeface="+mn-cs"/>
                </a:rPr>
                <a:t>√(〖</a:t>
              </a:r>
              <a:r>
                <a:rPr kumimoji="0" lang="en-US" sz="2400" b="0" i="0" u="none" strike="noStrike" kern="0" cap="none" spc="0" normalizeH="0" baseline="0" noProof="0">
                  <a:ln>
                    <a:noFill/>
                  </a:ln>
                  <a:solidFill>
                    <a:prstClr val="black"/>
                  </a:solidFill>
                  <a:effectLst/>
                  <a:uLnTx/>
                  <a:uFillTx/>
                  <a:latin typeface="Cambria Math" panose="02040503050406030204" pitchFamily="18" charset="0"/>
                  <a:ea typeface="+mn-ea"/>
                  <a:cs typeface="+mn-cs"/>
                </a:rPr>
                <a:t>𝑎</a:t>
              </a:r>
              <a:r>
                <a:rPr kumimoji="0" lang="th-TH" sz="2400" b="0" i="0" u="none" strike="noStrike" kern="0" cap="none" spc="0" normalizeH="0" baseline="0" noProof="0">
                  <a:ln>
                    <a:noFill/>
                  </a:ln>
                  <a:solidFill>
                    <a:prstClr val="black"/>
                  </a:solidFill>
                  <a:effectLst/>
                  <a:uLnTx/>
                  <a:uFillTx/>
                  <a:latin typeface="Cambria Math" panose="02040503050406030204" pitchFamily="18" charset="0"/>
                  <a:ea typeface="+mn-ea"/>
                  <a:cs typeface="+mn-cs"/>
                </a:rPr>
                <a:t>^</a:t>
              </a:r>
              <a:r>
                <a:rPr kumimoji="0" lang="en-US" sz="2400" b="0" i="0" u="none" strike="noStrike" kern="0" cap="none" spc="0" normalizeH="0" baseline="0" noProof="0">
                  <a:ln>
                    <a:noFill/>
                  </a:ln>
                  <a:solidFill>
                    <a:prstClr val="black"/>
                  </a:solidFill>
                  <a:effectLst/>
                  <a:uLnTx/>
                  <a:uFillTx/>
                  <a:latin typeface="Cambria Math" panose="02040503050406030204" pitchFamily="18" charset="0"/>
                  <a:ea typeface="+mn-ea"/>
                  <a:cs typeface="+mn-cs"/>
                </a:rPr>
                <a:t>2+𝑏</a:t>
              </a:r>
              <a:r>
                <a:rPr kumimoji="0" lang="th-TH" sz="2400" b="0" i="0" u="none" strike="noStrike" kern="0" cap="none" spc="0" normalizeH="0" baseline="0" noProof="0">
                  <a:ln>
                    <a:noFill/>
                  </a:ln>
                  <a:solidFill>
                    <a:prstClr val="black"/>
                  </a:solidFill>
                  <a:effectLst/>
                  <a:uLnTx/>
                  <a:uFillTx/>
                  <a:latin typeface="Cambria Math" panose="02040503050406030204" pitchFamily="18" charset="0"/>
                  <a:ea typeface="+mn-ea"/>
                  <a:cs typeface="+mn-cs"/>
                </a:rPr>
                <a:t>〗^</a:t>
              </a:r>
              <a:r>
                <a:rPr kumimoji="0" lang="en-US" sz="2400" b="0" i="0" u="none" strike="noStrike" kern="0" cap="none" spc="0" normalizeH="0" baseline="0" noProof="0">
                  <a:ln>
                    <a:noFill/>
                  </a:ln>
                  <a:solidFill>
                    <a:prstClr val="black"/>
                  </a:solidFill>
                  <a:effectLst/>
                  <a:uLnTx/>
                  <a:uFillTx/>
                  <a:latin typeface="Cambria Math" panose="02040503050406030204" pitchFamily="18" charset="0"/>
                  <a:ea typeface="+mn-ea"/>
                  <a:cs typeface="+mn-cs"/>
                </a:rPr>
                <a:t>2 </a:t>
              </a:r>
              <a:r>
                <a:rPr kumimoji="0" lang="th-TH" sz="2400" b="0" i="0" u="none" strike="noStrike" kern="0" cap="none" spc="0" normalizeH="0" baseline="0" noProof="0">
                  <a:ln>
                    <a:noFill/>
                  </a:ln>
                  <a:solidFill>
                    <a:prstClr val="black"/>
                  </a:solidFill>
                  <a:effectLst/>
                  <a:uLnTx/>
                  <a:uFillTx/>
                  <a:latin typeface="Cambria Math" panose="02040503050406030204" pitchFamily="18" charset="0"/>
                  <a:ea typeface="+mn-ea"/>
                  <a:cs typeface="+mn-cs"/>
                </a:rPr>
                <a:t>)</a:t>
              </a:r>
              <a:endParaRPr lang="th-TH" sz="2400" b="1">
                <a:latin typeface="TH Sarabun New" panose="020B0500040200020003" pitchFamily="34" charset="-34"/>
                <a:cs typeface="TH Sarabun New" panose="020B0500040200020003" pitchFamily="34" charset="-34"/>
              </a:endParaRPr>
            </a:p>
          </xdr:txBody>
        </xdr:sp>
      </mc:Fallback>
    </mc:AlternateContent>
    <xdr:clientData/>
  </xdr:twoCellAnchor>
  <xdr:twoCellAnchor editAs="oneCell">
    <xdr:from>
      <xdr:col>11</xdr:col>
      <xdr:colOff>179009</xdr:colOff>
      <xdr:row>15</xdr:row>
      <xdr:rowOff>139042</xdr:rowOff>
    </xdr:from>
    <xdr:to>
      <xdr:col>19</xdr:col>
      <xdr:colOff>306487</xdr:colOff>
      <xdr:row>32</xdr:row>
      <xdr:rowOff>265196</xdr:rowOff>
    </xdr:to>
    <xdr:pic>
      <xdr:nvPicPr>
        <xdr:cNvPr id="63" name="Picture 62">
          <a:extLst>
            <a:ext uri="{FF2B5EF4-FFF2-40B4-BE49-F238E27FC236}">
              <a16:creationId xmlns:a16="http://schemas.microsoft.com/office/drawing/2014/main" id="{18C4DC24-28B7-4179-8C6A-19B7221DA5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297176" y="5208459"/>
          <a:ext cx="10033478" cy="6359738"/>
        </a:xfrm>
        <a:prstGeom prst="rect">
          <a:avLst/>
        </a:prstGeom>
      </xdr:spPr>
    </xdr:pic>
    <xdr:clientData/>
  </xdr:twoCellAnchor>
  <xdr:oneCellAnchor>
    <xdr:from>
      <xdr:col>4</xdr:col>
      <xdr:colOff>110836</xdr:colOff>
      <xdr:row>15</xdr:row>
      <xdr:rowOff>0</xdr:rowOff>
    </xdr:from>
    <xdr:ext cx="928255" cy="498763"/>
    <xdr:sp macro="" textlink="">
      <xdr:nvSpPr>
        <xdr:cNvPr id="91" name="TextBox 90">
          <a:extLst>
            <a:ext uri="{FF2B5EF4-FFF2-40B4-BE49-F238E27FC236}">
              <a16:creationId xmlns:a16="http://schemas.microsoft.com/office/drawing/2014/main" id="{E8DA7C9A-3981-4AC7-93BD-BAB35E6C0402}"/>
            </a:ext>
          </a:extLst>
        </xdr:cNvPr>
        <xdr:cNvSpPr txBox="1"/>
      </xdr:nvSpPr>
      <xdr:spPr>
        <a:xfrm>
          <a:off x="110836" y="8823960"/>
          <a:ext cx="928255" cy="49876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t">
          <a:noAutofit/>
        </a:bodyPr>
        <a:lstStyle/>
        <a:p>
          <a:r>
            <a:rPr lang="th-TH" sz="2800" b="1">
              <a:latin typeface="TH Sarabun New" panose="020B0500040200020003" pitchFamily="34" charset="-34"/>
              <a:cs typeface="TH Sarabun New" panose="020B0500040200020003" pitchFamily="34" charset="-34"/>
            </a:rPr>
            <a:t>ค่า</a:t>
          </a:r>
          <a:r>
            <a:rPr lang="th-TH" sz="2800" b="1" baseline="0">
              <a:latin typeface="TH Sarabun New" panose="020B0500040200020003" pitchFamily="34" charset="-34"/>
              <a:cs typeface="TH Sarabun New" panose="020B0500040200020003" pitchFamily="34" charset="-34"/>
            </a:rPr>
            <a:t> </a:t>
          </a:r>
          <a:r>
            <a:rPr lang="en-US" sz="2800" b="1" baseline="0">
              <a:latin typeface="TH Sarabun New" panose="020B0500040200020003" pitchFamily="34" charset="-34"/>
              <a:cs typeface="TH Sarabun New" panose="020B0500040200020003" pitchFamily="34" charset="-34"/>
            </a:rPr>
            <a:t>C </a:t>
          </a:r>
          <a:r>
            <a:rPr lang="en-US" sz="2800" b="1">
              <a:latin typeface="TH Sarabun New" panose="020B0500040200020003" pitchFamily="34" charset="-34"/>
              <a:cs typeface="TH Sarabun New" panose="020B0500040200020003" pitchFamily="34" charset="-34"/>
            </a:rPr>
            <a:t>=</a:t>
          </a:r>
          <a:endParaRPr lang="th-TH" sz="2800" b="1">
            <a:latin typeface="TH Sarabun New" panose="020B0500040200020003" pitchFamily="34" charset="-34"/>
            <a:cs typeface="TH Sarabun New" panose="020B0500040200020003" pitchFamily="34" charset="-34"/>
          </a:endParaRPr>
        </a:p>
      </xdr:txBody>
    </xdr:sp>
    <xdr:clientData/>
  </xdr:oneCellAnchor>
  <xdr:oneCellAnchor>
    <xdr:from>
      <xdr:col>5</xdr:col>
      <xdr:colOff>553352</xdr:colOff>
      <xdr:row>14</xdr:row>
      <xdr:rowOff>336798</xdr:rowOff>
    </xdr:from>
    <xdr:ext cx="748146" cy="484909"/>
    <xdr:sp macro="" textlink="">
      <xdr:nvSpPr>
        <xdr:cNvPr id="92" name="TextBox 91">
          <a:extLst>
            <a:ext uri="{FF2B5EF4-FFF2-40B4-BE49-F238E27FC236}">
              <a16:creationId xmlns:a16="http://schemas.microsoft.com/office/drawing/2014/main" id="{633F6321-CF68-4AEA-AC65-9CF944A5D914}"/>
            </a:ext>
          </a:extLst>
        </xdr:cNvPr>
        <xdr:cNvSpPr txBox="1"/>
      </xdr:nvSpPr>
      <xdr:spPr>
        <a:xfrm>
          <a:off x="7846781" y="5815941"/>
          <a:ext cx="748146" cy="48490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t">
          <a:noAutofit/>
        </a:bodyPr>
        <a:lstStyle/>
        <a:p>
          <a:pPr algn="r"/>
          <a:r>
            <a:rPr lang="en-US" sz="2800" b="1">
              <a:latin typeface="TH Sarabun New" panose="020B0500040200020003" pitchFamily="34" charset="-34"/>
              <a:cs typeface="TH Sarabun New" panose="020B0500040200020003" pitchFamily="34" charset="-34"/>
            </a:rPr>
            <a:t>=</a:t>
          </a:r>
          <a:endParaRPr lang="th-TH" sz="2800" b="1">
            <a:latin typeface="TH Sarabun New" panose="020B0500040200020003" pitchFamily="34" charset="-34"/>
            <a:cs typeface="TH Sarabun New" panose="020B0500040200020003" pitchFamily="34" charset="-34"/>
          </a:endParaRPr>
        </a:p>
      </xdr:txBody>
    </xdr:sp>
    <xdr:clientData/>
  </xdr:oneCellAnchor>
  <xdr:twoCellAnchor>
    <xdr:from>
      <xdr:col>4</xdr:col>
      <xdr:colOff>18143</xdr:colOff>
      <xdr:row>0</xdr:row>
      <xdr:rowOff>263071</xdr:rowOff>
    </xdr:from>
    <xdr:to>
      <xdr:col>12</xdr:col>
      <xdr:colOff>507787</xdr:colOff>
      <xdr:row>2</xdr:row>
      <xdr:rowOff>103413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1" name="TextBox 100">
              <a:extLst>
                <a:ext uri="{FF2B5EF4-FFF2-40B4-BE49-F238E27FC236}">
                  <a16:creationId xmlns:a16="http://schemas.microsoft.com/office/drawing/2014/main" id="{C6F61585-CCC6-4B35-9857-064646CEC18F}"/>
                </a:ext>
              </a:extLst>
            </xdr:cNvPr>
            <xdr:cNvSpPr txBox="1"/>
          </xdr:nvSpPr>
          <xdr:spPr>
            <a:xfrm>
              <a:off x="6640286" y="263071"/>
              <a:ext cx="8572287" cy="52977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14:m>
                <m:oMath xmlns:m="http://schemas.openxmlformats.org/officeDocument/2006/math">
                  <m:sSup>
                    <m:sSupPr>
                      <m:ctrlPr>
                        <a:rPr lang="th-TH" sz="2400" b="0" i="1">
                          <a:latin typeface="Cambria Math" panose="02040503050406030204" pitchFamily="18" charset="0"/>
                        </a:rPr>
                      </m:ctrlPr>
                    </m:sSupPr>
                    <m:e>
                      <m:r>
                        <a:rPr lang="th-TH" sz="2400" b="0" i="1">
                          <a:latin typeface="Cambria Math" panose="02040503050406030204" pitchFamily="18" charset="0"/>
                        </a:rPr>
                        <m:t>การคำนวนสามเหลี่ยมมุมป้าน  </m:t>
                      </m:r>
                      <m:r>
                        <a:rPr lang="en-US" sz="2400" b="0" i="1">
                          <a:latin typeface="Cambria Math" panose="02040503050406030204" pitchFamily="18" charset="0"/>
                        </a:rPr>
                        <m:t>𝑐</m:t>
                      </m:r>
                    </m:e>
                    <m:sup>
                      <m:r>
                        <a:rPr lang="en-US" sz="2400" b="0" i="1">
                          <a:latin typeface="Cambria Math" panose="02040503050406030204" pitchFamily="18" charset="0"/>
                        </a:rPr>
                        <m:t>2</m:t>
                      </m:r>
                    </m:sup>
                  </m:sSup>
                </m:oMath>
              </a14:m>
              <a:r>
                <a:rPr lang="en-US" sz="2400" b="0">
                  <a:latin typeface="TH Sarabun New" panose="020B0500040200020003" pitchFamily="34" charset="-34"/>
                  <a:cs typeface="TH Sarabun New" panose="020B0500040200020003" pitchFamily="34" charset="-34"/>
                </a:rPr>
                <a:t>= </a:t>
              </a:r>
              <a14:m>
                <m:oMath xmlns:m="http://schemas.openxmlformats.org/officeDocument/2006/math">
                  <m:rad>
                    <m:radPr>
                      <m:degHide m:val="on"/>
                      <m:ctrlPr>
                        <a:rPr kumimoji="0" lang="th-TH" sz="2400" b="0" i="1" u="none" strike="noStrike" kern="0" cap="none" spc="0" normalizeH="0" baseline="0" noProof="0">
                          <a:ln>
                            <a:noFill/>
                          </a:ln>
                          <a:solidFill>
                            <a:prstClr val="black"/>
                          </a:solidFill>
                          <a:effectLst/>
                          <a:uLnTx/>
                          <a:uFillTx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radPr>
                    <m:deg/>
                    <m:e>
                      <m:sSup>
                        <m:sSupPr>
                          <m:ctrlPr>
                            <a:rPr kumimoji="0" lang="en-US" sz="2400" b="0" i="1" u="none" strike="noStrike" kern="0" cap="none" spc="0" normalizeH="0" baseline="0" noProof="0">
                              <a:ln>
                                <a:noFill/>
                              </a:ln>
                              <a:solidFill>
                                <a:prstClr val="black"/>
                              </a:solidFill>
                              <a:effectLst/>
                              <a:uLnTx/>
                              <a:uFillTx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</m:ctrlPr>
                        </m:sSupPr>
                        <m:e>
                          <m:sSup>
                            <m:sSupPr>
                              <m:ctrlPr>
                                <a:rPr kumimoji="0" lang="en-US" sz="2400" b="0" i="1" u="none" strike="noStrike" kern="0" cap="none" spc="0" normalizeH="0" baseline="0" noProof="0">
                                  <a:ln>
                                    <a:noFill/>
                                  </a:ln>
                                  <a:solidFill>
                                    <a:prstClr val="black"/>
                                  </a:solidFill>
                                  <a:effectLst/>
                                  <a:uLnTx/>
                                  <a:uFillTx/>
                                  <a:latin typeface="Cambria Math" panose="02040503050406030204" pitchFamily="18" charset="0"/>
                                  <a:ea typeface="+mn-ea"/>
                                  <a:cs typeface="+mn-cs"/>
                                </a:rPr>
                              </m:ctrlPr>
                            </m:sSupPr>
                            <m:e>
                              <m:r>
                                <a:rPr kumimoji="0" lang="en-US" sz="2400" b="0" i="1" u="none" strike="noStrike" kern="0" cap="none" spc="0" normalizeH="0" baseline="0" noProof="0">
                                  <a:ln>
                                    <a:noFill/>
                                  </a:ln>
                                  <a:solidFill>
                                    <a:prstClr val="black"/>
                                  </a:solidFill>
                                  <a:effectLst/>
                                  <a:uLnTx/>
                                  <a:uFillTx/>
                                  <a:latin typeface="Cambria Math" panose="02040503050406030204" pitchFamily="18" charset="0"/>
                                  <a:ea typeface="+mn-ea"/>
                                  <a:cs typeface="+mn-cs"/>
                                </a:rPr>
                                <m:t>𝑎</m:t>
                              </m:r>
                            </m:e>
                            <m:sup>
                              <m:r>
                                <a:rPr kumimoji="0" lang="en-US" sz="2400" b="0" i="1" u="none" strike="noStrike" kern="0" cap="none" spc="0" normalizeH="0" baseline="0" noProof="0">
                                  <a:ln>
                                    <a:noFill/>
                                  </a:ln>
                                  <a:solidFill>
                                    <a:prstClr val="black"/>
                                  </a:solidFill>
                                  <a:effectLst/>
                                  <a:uLnTx/>
                                  <a:uFillTx/>
                                  <a:latin typeface="Cambria Math" panose="02040503050406030204" pitchFamily="18" charset="0"/>
                                  <a:ea typeface="+mn-ea"/>
                                  <a:cs typeface="+mn-cs"/>
                                </a:rPr>
                                <m:t>2</m:t>
                              </m:r>
                            </m:sup>
                          </m:sSup>
                          <m:r>
                            <a:rPr kumimoji="0" lang="en-US" sz="2400" b="0" i="1" u="none" strike="noStrike" kern="0" cap="none" spc="0" normalizeH="0" baseline="0" noProof="0">
                              <a:ln>
                                <a:noFill/>
                              </a:ln>
                              <a:solidFill>
                                <a:prstClr val="black"/>
                              </a:solidFill>
                              <a:effectLst/>
                              <a:uLnTx/>
                              <a:uFillTx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+</m:t>
                          </m:r>
                          <m:r>
                            <a:rPr kumimoji="0" lang="en-US" sz="2400" b="0" i="1" u="none" strike="noStrike" kern="0" cap="none" spc="0" normalizeH="0" baseline="0" noProof="0">
                              <a:ln>
                                <a:noFill/>
                              </a:ln>
                              <a:solidFill>
                                <a:prstClr val="black"/>
                              </a:solidFill>
                              <a:effectLst/>
                              <a:uLnTx/>
                              <a:uFillTx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𝑏</m:t>
                          </m:r>
                        </m:e>
                        <m:sup>
                          <m:r>
                            <a:rPr kumimoji="0" lang="en-US" sz="2400" b="0" i="1" u="none" strike="noStrike" kern="0" cap="none" spc="0" normalizeH="0" baseline="0" noProof="0">
                              <a:ln>
                                <a:noFill/>
                              </a:ln>
                              <a:solidFill>
                                <a:prstClr val="black"/>
                              </a:solidFill>
                              <a:effectLst/>
                              <a:uLnTx/>
                              <a:uFillTx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2</m:t>
                          </m:r>
                        </m:sup>
                      </m:sSup>
                    </m:e>
                  </m:rad>
                </m:oMath>
              </a14:m>
              <a:r>
                <a:rPr lang="en-US" sz="2400" b="1">
                  <a:latin typeface="TH Sarabun New" panose="020B0500040200020003" pitchFamily="34" charset="-34"/>
                  <a:cs typeface="TH Sarabun New" panose="020B0500040200020003" pitchFamily="34" charset="-34"/>
                </a:rPr>
                <a:t>- 2abcosA</a:t>
              </a:r>
              <a:endParaRPr lang="th-TH" sz="2400" b="1">
                <a:latin typeface="TH Sarabun New" panose="020B0500040200020003" pitchFamily="34" charset="-34"/>
                <a:cs typeface="TH Sarabun New" panose="020B0500040200020003" pitchFamily="34" charset="-34"/>
              </a:endParaRPr>
            </a:p>
          </xdr:txBody>
        </xdr:sp>
      </mc:Choice>
      <mc:Fallback xmlns="">
        <xdr:sp macro="" textlink="">
          <xdr:nvSpPr>
            <xdr:cNvPr id="101" name="TextBox 100">
              <a:extLst>
                <a:ext uri="{FF2B5EF4-FFF2-40B4-BE49-F238E27FC236}">
                  <a16:creationId xmlns:a16="http://schemas.microsoft.com/office/drawing/2014/main" id="{C6F61585-CCC6-4B35-9857-064646CEC18F}"/>
                </a:ext>
              </a:extLst>
            </xdr:cNvPr>
            <xdr:cNvSpPr txBox="1"/>
          </xdr:nvSpPr>
          <xdr:spPr>
            <a:xfrm>
              <a:off x="6640286" y="263071"/>
              <a:ext cx="8572287" cy="52977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r>
                <a:rPr lang="th-TH" sz="2400" b="0" i="0">
                  <a:latin typeface="Cambria Math" panose="02040503050406030204" pitchFamily="18" charset="0"/>
                </a:rPr>
                <a:t>〖การคำนวนสามเหลี่ยมมุมป้าน  </a:t>
              </a:r>
              <a:r>
                <a:rPr lang="en-US" sz="2400" b="0" i="0">
                  <a:latin typeface="Cambria Math" panose="02040503050406030204" pitchFamily="18" charset="0"/>
                </a:rPr>
                <a:t>𝑐</a:t>
              </a:r>
              <a:r>
                <a:rPr lang="th-TH" sz="2400" b="0" i="0">
                  <a:latin typeface="Cambria Math" panose="02040503050406030204" pitchFamily="18" charset="0"/>
                </a:rPr>
                <a:t>〗^</a:t>
              </a:r>
              <a:r>
                <a:rPr lang="en-US" sz="2400" b="0" i="0">
                  <a:latin typeface="Cambria Math" panose="02040503050406030204" pitchFamily="18" charset="0"/>
                </a:rPr>
                <a:t>2</a:t>
              </a:r>
              <a:r>
                <a:rPr lang="en-US" sz="2400" b="0">
                  <a:latin typeface="TH Sarabun New" panose="020B0500040200020003" pitchFamily="34" charset="-34"/>
                  <a:cs typeface="TH Sarabun New" panose="020B0500040200020003" pitchFamily="34" charset="-34"/>
                </a:rPr>
                <a:t>= </a:t>
              </a:r>
              <a:r>
                <a:rPr kumimoji="0" lang="th-TH" sz="2400" b="0" i="0" u="none" strike="noStrike" kern="0" cap="none" spc="0" normalizeH="0" baseline="0" noProof="0">
                  <a:ln>
                    <a:noFill/>
                  </a:ln>
                  <a:solidFill>
                    <a:prstClr val="black"/>
                  </a:solidFill>
                  <a:effectLst/>
                  <a:uLnTx/>
                  <a:uFillTx/>
                  <a:latin typeface="Cambria Math" panose="02040503050406030204" pitchFamily="18" charset="0"/>
                  <a:ea typeface="+mn-ea"/>
                  <a:cs typeface="+mn-cs"/>
                </a:rPr>
                <a:t>√(〖</a:t>
              </a:r>
              <a:r>
                <a:rPr kumimoji="0" lang="en-US" sz="2400" b="0" i="0" u="none" strike="noStrike" kern="0" cap="none" spc="0" normalizeH="0" baseline="0" noProof="0">
                  <a:ln>
                    <a:noFill/>
                  </a:ln>
                  <a:solidFill>
                    <a:prstClr val="black"/>
                  </a:solidFill>
                  <a:effectLst/>
                  <a:uLnTx/>
                  <a:uFillTx/>
                  <a:latin typeface="Cambria Math" panose="02040503050406030204" pitchFamily="18" charset="0"/>
                  <a:ea typeface="+mn-ea"/>
                  <a:cs typeface="+mn-cs"/>
                </a:rPr>
                <a:t>𝑎</a:t>
              </a:r>
              <a:r>
                <a:rPr kumimoji="0" lang="th-TH" sz="2400" b="0" i="0" u="none" strike="noStrike" kern="0" cap="none" spc="0" normalizeH="0" baseline="0" noProof="0">
                  <a:ln>
                    <a:noFill/>
                  </a:ln>
                  <a:solidFill>
                    <a:prstClr val="black"/>
                  </a:solidFill>
                  <a:effectLst/>
                  <a:uLnTx/>
                  <a:uFillTx/>
                  <a:latin typeface="Cambria Math" panose="02040503050406030204" pitchFamily="18" charset="0"/>
                  <a:ea typeface="+mn-ea"/>
                  <a:cs typeface="+mn-cs"/>
                </a:rPr>
                <a:t>^</a:t>
              </a:r>
              <a:r>
                <a:rPr kumimoji="0" lang="en-US" sz="2400" b="0" i="0" u="none" strike="noStrike" kern="0" cap="none" spc="0" normalizeH="0" baseline="0" noProof="0">
                  <a:ln>
                    <a:noFill/>
                  </a:ln>
                  <a:solidFill>
                    <a:prstClr val="black"/>
                  </a:solidFill>
                  <a:effectLst/>
                  <a:uLnTx/>
                  <a:uFillTx/>
                  <a:latin typeface="Cambria Math" panose="02040503050406030204" pitchFamily="18" charset="0"/>
                  <a:ea typeface="+mn-ea"/>
                  <a:cs typeface="+mn-cs"/>
                </a:rPr>
                <a:t>2+𝑏</a:t>
              </a:r>
              <a:r>
                <a:rPr kumimoji="0" lang="th-TH" sz="2400" b="0" i="0" u="none" strike="noStrike" kern="0" cap="none" spc="0" normalizeH="0" baseline="0" noProof="0">
                  <a:ln>
                    <a:noFill/>
                  </a:ln>
                  <a:solidFill>
                    <a:prstClr val="black"/>
                  </a:solidFill>
                  <a:effectLst/>
                  <a:uLnTx/>
                  <a:uFillTx/>
                  <a:latin typeface="Cambria Math" panose="02040503050406030204" pitchFamily="18" charset="0"/>
                  <a:ea typeface="+mn-ea"/>
                  <a:cs typeface="+mn-cs"/>
                </a:rPr>
                <a:t>〗^</a:t>
              </a:r>
              <a:r>
                <a:rPr kumimoji="0" lang="en-US" sz="2400" b="0" i="0" u="none" strike="noStrike" kern="0" cap="none" spc="0" normalizeH="0" baseline="0" noProof="0">
                  <a:ln>
                    <a:noFill/>
                  </a:ln>
                  <a:solidFill>
                    <a:prstClr val="black"/>
                  </a:solidFill>
                  <a:effectLst/>
                  <a:uLnTx/>
                  <a:uFillTx/>
                  <a:latin typeface="Cambria Math" panose="02040503050406030204" pitchFamily="18" charset="0"/>
                  <a:ea typeface="+mn-ea"/>
                  <a:cs typeface="+mn-cs"/>
                </a:rPr>
                <a:t>2 </a:t>
              </a:r>
              <a:r>
                <a:rPr kumimoji="0" lang="th-TH" sz="2400" b="0" i="0" u="none" strike="noStrike" kern="0" cap="none" spc="0" normalizeH="0" baseline="0" noProof="0">
                  <a:ln>
                    <a:noFill/>
                  </a:ln>
                  <a:solidFill>
                    <a:prstClr val="black"/>
                  </a:solidFill>
                  <a:effectLst/>
                  <a:uLnTx/>
                  <a:uFillTx/>
                  <a:latin typeface="Cambria Math" panose="02040503050406030204" pitchFamily="18" charset="0"/>
                  <a:ea typeface="+mn-ea"/>
                  <a:cs typeface="+mn-cs"/>
                </a:rPr>
                <a:t>)</a:t>
              </a:r>
              <a:r>
                <a:rPr lang="en-US" sz="2400" b="1">
                  <a:latin typeface="TH Sarabun New" panose="020B0500040200020003" pitchFamily="34" charset="-34"/>
                  <a:cs typeface="TH Sarabun New" panose="020B0500040200020003" pitchFamily="34" charset="-34"/>
                </a:rPr>
                <a:t>- 2abcosA</a:t>
              </a:r>
              <a:endParaRPr lang="th-TH" sz="2400" b="1">
                <a:latin typeface="TH Sarabun New" panose="020B0500040200020003" pitchFamily="34" charset="-34"/>
                <a:cs typeface="TH Sarabun New" panose="020B0500040200020003" pitchFamily="34" charset="-34"/>
              </a:endParaRPr>
            </a:p>
          </xdr:txBody>
        </xdr:sp>
      </mc:Fallback>
    </mc:AlternateContent>
    <xdr:clientData/>
  </xdr:twoCellAnchor>
  <xdr:twoCellAnchor>
    <xdr:from>
      <xdr:col>2</xdr:col>
      <xdr:colOff>1065892</xdr:colOff>
      <xdr:row>6</xdr:row>
      <xdr:rowOff>83154</xdr:rowOff>
    </xdr:from>
    <xdr:to>
      <xdr:col>3</xdr:col>
      <xdr:colOff>375251</xdr:colOff>
      <xdr:row>7</xdr:row>
      <xdr:rowOff>297915</xdr:rowOff>
    </xdr:to>
    <xdr:sp macro="" textlink="">
      <xdr:nvSpPr>
        <xdr:cNvPr id="106" name="TextBox 105">
          <a:extLst>
            <a:ext uri="{FF2B5EF4-FFF2-40B4-BE49-F238E27FC236}">
              <a16:creationId xmlns:a16="http://schemas.microsoft.com/office/drawing/2014/main" id="{677DACF4-64C5-40D2-825C-77E5A5EF1875}"/>
            </a:ext>
          </a:extLst>
        </xdr:cNvPr>
        <xdr:cNvSpPr txBox="1"/>
      </xdr:nvSpPr>
      <xdr:spPr>
        <a:xfrm>
          <a:off x="4135059" y="2115154"/>
          <a:ext cx="653442" cy="44759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t">
          <a:noAutofit/>
        </a:bodyPr>
        <a:lstStyle/>
        <a:p>
          <a:r>
            <a:rPr lang="en-US" sz="3600" b="1">
              <a:latin typeface="TH Sarabun New" panose="020B0500040200020003" pitchFamily="34" charset="-34"/>
              <a:cs typeface="TH Sarabun New" panose="020B0500040200020003" pitchFamily="34" charset="-34"/>
            </a:rPr>
            <a:t>A</a:t>
          </a:r>
          <a:endParaRPr lang="th-TH" sz="3600" b="1">
            <a:latin typeface="TH Sarabun New" panose="020B0500040200020003" pitchFamily="34" charset="-34"/>
            <a:cs typeface="TH Sarabun New" panose="020B0500040200020003" pitchFamily="34" charset="-34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6C6E67-BC76-48D9-ACBB-101C6B8AFA9C}">
  <sheetPr>
    <tabColor rgb="FF92D050"/>
  </sheetPr>
  <dimension ref="A1:Y44"/>
  <sheetViews>
    <sheetView tabSelected="1" topLeftCell="A13" zoomScale="60" zoomScaleNormal="60" workbookViewId="0">
      <selection activeCell="D25" sqref="D25"/>
    </sheetView>
  </sheetViews>
  <sheetFormatPr defaultColWidth="8.796875" defaultRowHeight="27" x14ac:dyDescent="0.75"/>
  <cols>
    <col min="1" max="1" width="4.19921875" style="14" customWidth="1"/>
    <col min="2" max="2" width="36.19921875" style="4" customWidth="1"/>
    <col min="3" max="3" width="17.69921875" style="4" customWidth="1"/>
    <col min="4" max="4" width="34.59765625" style="4" customWidth="1"/>
    <col min="5" max="5" width="4.69921875" style="4" customWidth="1"/>
    <col min="6" max="6" width="38.69921875" style="14" bestFit="1" customWidth="1"/>
    <col min="7" max="7" width="11.59765625" style="4" customWidth="1"/>
    <col min="8" max="8" width="5.19921875" style="4" customWidth="1"/>
    <col min="9" max="9" width="31.8984375" style="14" bestFit="1" customWidth="1"/>
    <col min="10" max="10" width="11.69921875" style="4" customWidth="1"/>
    <col min="11" max="11" width="5.19921875" style="4" customWidth="1"/>
    <col min="12" max="12" width="14.5" style="4" customWidth="1"/>
    <col min="13" max="13" width="13.69921875" style="1" customWidth="1"/>
    <col min="14" max="14" width="13.19921875" style="1" customWidth="1"/>
    <col min="15" max="15" width="30.3984375" style="1" customWidth="1"/>
    <col min="16" max="16" width="8.796875" style="1"/>
    <col min="17" max="17" width="28" style="1" customWidth="1"/>
    <col min="18" max="18" width="12.5" style="1" customWidth="1"/>
    <col min="19" max="20" width="8.796875" style="1"/>
    <col min="21" max="21" width="17.19921875" style="1" customWidth="1"/>
    <col min="22" max="22" width="17.796875" style="1" customWidth="1"/>
    <col min="23" max="16384" width="8.796875" style="1"/>
  </cols>
  <sheetData>
    <row r="1" spans="2:13" s="4" customFormat="1" x14ac:dyDescent="0.75">
      <c r="B1" s="16"/>
    </row>
    <row r="2" spans="2:13" s="4" customFormat="1" x14ac:dyDescent="0.75">
      <c r="B2" s="16"/>
    </row>
    <row r="3" spans="2:13" s="4" customFormat="1" x14ac:dyDescent="0.75">
      <c r="B3" s="16"/>
    </row>
    <row r="4" spans="2:13" s="4" customFormat="1" x14ac:dyDescent="0.75">
      <c r="B4" s="16"/>
    </row>
    <row r="5" spans="2:13" s="4" customFormat="1" x14ac:dyDescent="0.75">
      <c r="B5" s="16"/>
    </row>
    <row r="6" spans="2:13" s="4" customFormat="1" x14ac:dyDescent="0.75">
      <c r="B6" s="16"/>
    </row>
    <row r="7" spans="2:13" s="4" customFormat="1" ht="18.600000000000001" customHeight="1" x14ac:dyDescent="0.75">
      <c r="B7" s="16"/>
    </row>
    <row r="8" spans="2:13" s="4" customFormat="1" x14ac:dyDescent="0.75">
      <c r="E8" s="32"/>
      <c r="F8" s="14"/>
      <c r="G8" s="30">
        <f>C13*C13</f>
        <v>2.25</v>
      </c>
      <c r="H8" s="105"/>
      <c r="J8" s="106">
        <f>G8+G9</f>
        <v>3.69</v>
      </c>
      <c r="K8" s="17"/>
      <c r="L8" s="17"/>
      <c r="M8" s="17"/>
    </row>
    <row r="9" spans="2:13" s="17" customFormat="1" x14ac:dyDescent="0.75">
      <c r="E9" s="32"/>
      <c r="F9" s="14"/>
      <c r="G9" s="30">
        <f>C14*C14</f>
        <v>1.44</v>
      </c>
      <c r="H9" s="105"/>
      <c r="J9" s="106"/>
    </row>
    <row r="10" spans="2:13" s="17" customFormat="1" x14ac:dyDescent="0.75">
      <c r="E10" s="32"/>
      <c r="F10" s="14"/>
      <c r="G10" s="18"/>
      <c r="H10" s="18"/>
      <c r="I10" s="18"/>
      <c r="J10" s="32"/>
    </row>
    <row r="11" spans="2:13" s="17" customFormat="1" ht="33" x14ac:dyDescent="0.75">
      <c r="B11" s="28" t="s">
        <v>18</v>
      </c>
      <c r="C11" s="28"/>
      <c r="E11" s="32"/>
      <c r="F11" s="14"/>
      <c r="G11" s="29">
        <f>C12*C13*C14*C16</f>
        <v>0</v>
      </c>
      <c r="H11" s="18"/>
      <c r="I11" s="14"/>
      <c r="J11" s="14"/>
    </row>
    <row r="12" spans="2:13" s="17" customFormat="1" ht="27.6" thickBot="1" x14ac:dyDescent="0.8">
      <c r="B12" s="20" t="s">
        <v>7</v>
      </c>
      <c r="C12" s="86">
        <v>2</v>
      </c>
      <c r="E12" s="32"/>
      <c r="F12" s="14"/>
      <c r="G12" s="14"/>
      <c r="H12" s="14"/>
      <c r="I12" s="14"/>
      <c r="J12" s="14"/>
    </row>
    <row r="13" spans="2:13" s="17" customFormat="1" x14ac:dyDescent="0.75">
      <c r="B13" s="85"/>
      <c r="C13" s="88">
        <v>1.5</v>
      </c>
      <c r="E13" s="32"/>
      <c r="F13" s="33" t="s">
        <v>20</v>
      </c>
      <c r="G13" s="29">
        <f>J8-G11</f>
        <v>3.69</v>
      </c>
      <c r="H13" s="18"/>
      <c r="I13" s="18"/>
      <c r="J13" s="14"/>
    </row>
    <row r="14" spans="2:13" s="17" customFormat="1" ht="27.6" thickBot="1" x14ac:dyDescent="0.8">
      <c r="B14" s="85"/>
      <c r="C14" s="89">
        <v>1.2</v>
      </c>
      <c r="E14" s="32"/>
      <c r="F14" s="14"/>
      <c r="G14" s="18"/>
      <c r="H14" s="18"/>
      <c r="I14" s="18"/>
      <c r="J14" s="14"/>
    </row>
    <row r="15" spans="2:13" s="17" customFormat="1" ht="27.6" thickBot="1" x14ac:dyDescent="0.8">
      <c r="B15" s="22"/>
      <c r="C15" s="87" t="s">
        <v>12</v>
      </c>
      <c r="E15" s="14"/>
      <c r="F15" s="14"/>
      <c r="G15" s="19"/>
      <c r="H15" s="19"/>
      <c r="I15" s="18"/>
      <c r="J15" s="14"/>
    </row>
    <row r="16" spans="2:13" s="4" customFormat="1" ht="27.6" customHeight="1" thickBot="1" x14ac:dyDescent="0.8">
      <c r="B16" s="21" t="s">
        <v>22</v>
      </c>
      <c r="C16" s="73">
        <v>0</v>
      </c>
      <c r="D16" s="34" t="s">
        <v>23</v>
      </c>
      <c r="E16" s="14"/>
      <c r="F16" s="14"/>
      <c r="G16" s="75">
        <f>SQRT(G13)</f>
        <v>1.9209372712298547</v>
      </c>
      <c r="H16" s="19"/>
      <c r="I16" s="14"/>
      <c r="J16" s="14"/>
    </row>
    <row r="17" spans="1:25" s="4" customFormat="1" ht="27.6" customHeight="1" x14ac:dyDescent="0.75"/>
    <row r="18" spans="1:25" ht="27.6" thickBot="1" x14ac:dyDescent="0.8">
      <c r="A18" s="1"/>
      <c r="B18" s="15"/>
      <c r="C18" s="1"/>
      <c r="D18" s="1"/>
      <c r="E18" s="1"/>
      <c r="F18" s="1"/>
      <c r="G18" s="1"/>
      <c r="H18" s="1"/>
      <c r="I18" s="15"/>
      <c r="J18" s="1"/>
      <c r="K18" s="1"/>
      <c r="L18" s="1"/>
      <c r="Q18" s="15"/>
      <c r="W18" s="4"/>
      <c r="X18" s="4"/>
    </row>
    <row r="19" spans="1:25" ht="39" thickBot="1" x14ac:dyDescent="1.1000000000000001">
      <c r="A19" s="110" t="s">
        <v>21</v>
      </c>
      <c r="B19" s="110"/>
      <c r="C19" s="110"/>
      <c r="D19" s="110"/>
      <c r="E19" s="110"/>
      <c r="F19" s="110"/>
      <c r="G19" s="110"/>
      <c r="H19" s="110"/>
      <c r="I19" s="110"/>
      <c r="J19" s="110"/>
      <c r="K19" s="110"/>
      <c r="L19" s="1"/>
      <c r="V19" s="4"/>
      <c r="W19" s="4"/>
      <c r="X19" s="4"/>
      <c r="Y19" s="5"/>
    </row>
    <row r="20" spans="1:25" s="2" customFormat="1" ht="30.6" thickBot="1" x14ac:dyDescent="0.8">
      <c r="A20" s="54"/>
      <c r="B20" s="55" t="s">
        <v>4</v>
      </c>
      <c r="C20" s="55" t="s">
        <v>19</v>
      </c>
      <c r="D20" s="59"/>
      <c r="E20" s="38"/>
      <c r="F20" s="107" t="s">
        <v>8</v>
      </c>
      <c r="G20" s="108"/>
      <c r="H20" s="57"/>
      <c r="I20" s="109" t="s">
        <v>10</v>
      </c>
      <c r="J20" s="109"/>
      <c r="K20" s="58"/>
      <c r="L20" s="1"/>
      <c r="V20" s="4"/>
      <c r="W20" s="4"/>
      <c r="X20" s="4"/>
      <c r="Y20" s="6"/>
    </row>
    <row r="21" spans="1:25" ht="30.6" thickBot="1" x14ac:dyDescent="0.9">
      <c r="A21" s="51">
        <v>1</v>
      </c>
      <c r="B21" s="60" t="s">
        <v>29</v>
      </c>
      <c r="C21" s="83">
        <v>6.5</v>
      </c>
      <c r="D21" s="77" t="s">
        <v>1</v>
      </c>
      <c r="E21" s="40"/>
      <c r="F21" s="52" t="s">
        <v>36</v>
      </c>
      <c r="G21" s="42">
        <f>($C$23+($C$24*$C$25))/$C$25</f>
        <v>5.65</v>
      </c>
      <c r="H21" s="53" t="s">
        <v>13</v>
      </c>
      <c r="I21" s="64" t="s">
        <v>31</v>
      </c>
      <c r="J21" s="74">
        <f>$C$22</f>
        <v>1.9209372712298547</v>
      </c>
      <c r="K21" s="53" t="s">
        <v>13</v>
      </c>
      <c r="L21" s="1"/>
      <c r="V21" s="4"/>
      <c r="W21" s="4"/>
      <c r="X21" s="4"/>
      <c r="Y21" s="5"/>
    </row>
    <row r="22" spans="1:25" ht="30.6" thickBot="1" x14ac:dyDescent="0.9">
      <c r="A22" s="7">
        <v>2</v>
      </c>
      <c r="B22" s="61" t="s">
        <v>27</v>
      </c>
      <c r="C22" s="92">
        <f>G16</f>
        <v>1.9209372712298547</v>
      </c>
      <c r="D22" s="78" t="s">
        <v>17</v>
      </c>
      <c r="E22" s="40"/>
      <c r="F22" s="23" t="s">
        <v>37</v>
      </c>
      <c r="G22" s="48">
        <f>G21-$C$21</f>
        <v>-0.84999999999999964</v>
      </c>
      <c r="H22" s="45" t="s">
        <v>14</v>
      </c>
      <c r="I22" s="31" t="s">
        <v>39</v>
      </c>
      <c r="J22" s="24">
        <f>(J21+($C$24*$C$25))/$C$25</f>
        <v>6.0709372712298553</v>
      </c>
      <c r="K22" s="45" t="s">
        <v>14</v>
      </c>
      <c r="L22" s="1"/>
      <c r="V22" s="4"/>
      <c r="W22" s="4"/>
      <c r="X22" s="4"/>
      <c r="Y22" s="5"/>
    </row>
    <row r="23" spans="1:25" ht="30.6" thickBot="1" x14ac:dyDescent="0.9">
      <c r="A23" s="43">
        <v>3</v>
      </c>
      <c r="B23" s="76" t="s">
        <v>0</v>
      </c>
      <c r="C23" s="91">
        <v>1.5</v>
      </c>
      <c r="D23" s="78" t="s">
        <v>2</v>
      </c>
      <c r="E23" s="40"/>
      <c r="F23" s="27" t="s">
        <v>35</v>
      </c>
      <c r="G23" s="35">
        <f>$C$28-G22</f>
        <v>72.849999999999994</v>
      </c>
      <c r="H23" s="45" t="s">
        <v>6</v>
      </c>
      <c r="I23" s="36" t="s">
        <v>40</v>
      </c>
      <c r="J23" s="44">
        <f>J22-$C$21</f>
        <v>-0.42906272877014473</v>
      </c>
      <c r="K23" s="45" t="s">
        <v>6</v>
      </c>
      <c r="L23" s="1"/>
      <c r="X23" s="5"/>
      <c r="Y23" s="5"/>
    </row>
    <row r="24" spans="1:25" x14ac:dyDescent="0.75">
      <c r="A24" s="43">
        <v>4</v>
      </c>
      <c r="B24" s="76" t="s">
        <v>28</v>
      </c>
      <c r="C24" s="80">
        <v>4.1500000000000004</v>
      </c>
      <c r="D24" s="78" t="s">
        <v>24</v>
      </c>
      <c r="E24" s="39"/>
      <c r="F24" s="96"/>
      <c r="G24" s="93"/>
      <c r="H24" s="49"/>
      <c r="I24" s="31" t="s">
        <v>34</v>
      </c>
      <c r="J24" s="25">
        <f>$C$28-J23</f>
        <v>72.429062728770148</v>
      </c>
      <c r="K24" s="46"/>
      <c r="L24" s="1"/>
    </row>
    <row r="25" spans="1:25" ht="27.6" thickBot="1" x14ac:dyDescent="0.8">
      <c r="A25" s="43">
        <v>5</v>
      </c>
      <c r="B25" s="76" t="s">
        <v>26</v>
      </c>
      <c r="C25" s="84">
        <v>1</v>
      </c>
      <c r="D25" s="78" t="s">
        <v>25</v>
      </c>
      <c r="E25" s="39"/>
      <c r="F25" s="96"/>
      <c r="G25" s="93"/>
      <c r="H25" s="49"/>
      <c r="I25" s="96"/>
      <c r="J25" s="97"/>
      <c r="K25" s="46"/>
      <c r="L25" s="1"/>
    </row>
    <row r="26" spans="1:25" ht="27.6" thickBot="1" x14ac:dyDescent="0.8">
      <c r="A26" s="65"/>
      <c r="B26" s="66"/>
      <c r="C26" s="90"/>
      <c r="D26" s="79"/>
      <c r="E26" s="67"/>
      <c r="F26" s="113"/>
      <c r="G26" s="114"/>
      <c r="H26" s="68"/>
      <c r="I26" s="113"/>
      <c r="J26" s="115"/>
      <c r="K26" s="69"/>
      <c r="L26" s="1"/>
    </row>
    <row r="27" spans="1:25" ht="27.6" thickBot="1" x14ac:dyDescent="0.8">
      <c r="A27" s="102" t="s">
        <v>33</v>
      </c>
      <c r="B27" s="103"/>
      <c r="C27" s="103"/>
      <c r="D27" s="104"/>
      <c r="E27" s="56"/>
      <c r="F27" s="111" t="s">
        <v>9</v>
      </c>
      <c r="G27" s="112"/>
      <c r="H27" s="57"/>
      <c r="I27" s="94" t="s">
        <v>11</v>
      </c>
      <c r="J27" s="95"/>
      <c r="K27" s="58"/>
      <c r="L27" s="1"/>
    </row>
    <row r="28" spans="1:25" ht="27.6" thickBot="1" x14ac:dyDescent="0.8">
      <c r="A28" s="70"/>
      <c r="B28" s="71" t="s">
        <v>3</v>
      </c>
      <c r="C28" s="83">
        <v>72</v>
      </c>
      <c r="D28" s="81"/>
      <c r="E28" s="72"/>
      <c r="F28" s="98" t="s">
        <v>30</v>
      </c>
      <c r="G28" s="99"/>
      <c r="H28" s="53" t="s">
        <v>13</v>
      </c>
      <c r="I28" s="64" t="s">
        <v>32</v>
      </c>
      <c r="J28" s="74">
        <f>$C$22</f>
        <v>1.9209372712298547</v>
      </c>
      <c r="K28" s="53" t="s">
        <v>13</v>
      </c>
      <c r="L28" s="1"/>
    </row>
    <row r="29" spans="1:25" ht="27.6" thickBot="1" x14ac:dyDescent="0.8">
      <c r="A29" s="8"/>
      <c r="B29" s="9" t="s">
        <v>38</v>
      </c>
      <c r="C29" s="82">
        <f>G22</f>
        <v>-0.84999999999999964</v>
      </c>
      <c r="D29" s="62" t="s">
        <v>16</v>
      </c>
      <c r="E29" s="40"/>
      <c r="F29" s="98"/>
      <c r="G29" s="99"/>
      <c r="H29" s="45" t="s">
        <v>14</v>
      </c>
      <c r="I29" s="31" t="s">
        <v>39</v>
      </c>
      <c r="J29" s="24">
        <f>(J28+($C$24*$C$25))/$C$25</f>
        <v>6.0709372712298553</v>
      </c>
      <c r="K29" s="45" t="s">
        <v>14</v>
      </c>
      <c r="L29" s="1"/>
    </row>
    <row r="30" spans="1:25" ht="27.6" thickBot="1" x14ac:dyDescent="0.8">
      <c r="A30" s="8"/>
      <c r="B30" s="9" t="s">
        <v>41</v>
      </c>
      <c r="C30" s="10">
        <f>J23</f>
        <v>-0.42906272877014473</v>
      </c>
      <c r="D30" s="62"/>
      <c r="E30" s="40"/>
      <c r="F30" s="98"/>
      <c r="G30" s="99"/>
      <c r="H30" s="45" t="s">
        <v>6</v>
      </c>
      <c r="I30" s="36" t="s">
        <v>40</v>
      </c>
      <c r="J30" s="44">
        <f>J29-$C$21</f>
        <v>-0.42906272877014473</v>
      </c>
      <c r="K30" s="45" t="s">
        <v>6</v>
      </c>
      <c r="L30" s="1"/>
    </row>
    <row r="31" spans="1:25" x14ac:dyDescent="0.75">
      <c r="A31" s="8"/>
      <c r="B31" s="9" t="s">
        <v>42</v>
      </c>
      <c r="C31" s="10">
        <f>G31</f>
        <v>0</v>
      </c>
      <c r="D31" s="62" t="s">
        <v>5</v>
      </c>
      <c r="E31" s="40"/>
      <c r="F31" s="98"/>
      <c r="G31" s="99"/>
      <c r="H31" s="45" t="s">
        <v>15</v>
      </c>
      <c r="I31" s="31" t="s">
        <v>34</v>
      </c>
      <c r="J31" s="25">
        <f>$C$28-J30</f>
        <v>72.429062728770148</v>
      </c>
      <c r="K31" s="46"/>
      <c r="L31" s="1"/>
    </row>
    <row r="32" spans="1:25" ht="27.6" thickBot="1" x14ac:dyDescent="0.8">
      <c r="A32" s="11"/>
      <c r="B32" s="12" t="s">
        <v>43</v>
      </c>
      <c r="C32" s="13">
        <f>J30</f>
        <v>-0.42906272877014473</v>
      </c>
      <c r="D32" s="63"/>
      <c r="E32" s="41"/>
      <c r="F32" s="100"/>
      <c r="G32" s="101"/>
      <c r="H32" s="50"/>
      <c r="I32" s="37"/>
      <c r="J32" s="26"/>
      <c r="K32" s="47"/>
      <c r="L32" s="1"/>
    </row>
    <row r="33" spans="3:14" x14ac:dyDescent="0.75">
      <c r="F33" s="4"/>
      <c r="I33" s="4"/>
      <c r="K33" s="1"/>
      <c r="L33" s="1"/>
    </row>
    <row r="34" spans="3:14" x14ac:dyDescent="0.75">
      <c r="C34" s="4" t="s">
        <v>45</v>
      </c>
      <c r="F34" s="4"/>
      <c r="I34" s="4"/>
      <c r="K34" s="1"/>
      <c r="L34" s="1"/>
    </row>
    <row r="35" spans="3:14" x14ac:dyDescent="0.75">
      <c r="C35" s="4" t="s">
        <v>44</v>
      </c>
      <c r="F35" s="4"/>
      <c r="I35" s="4"/>
      <c r="K35" s="1"/>
      <c r="L35" s="1"/>
    </row>
    <row r="36" spans="3:14" x14ac:dyDescent="0.75">
      <c r="F36" s="4"/>
    </row>
    <row r="37" spans="3:14" x14ac:dyDescent="0.75">
      <c r="F37" s="4"/>
    </row>
    <row r="38" spans="3:14" x14ac:dyDescent="0.75">
      <c r="F38" s="4"/>
    </row>
    <row r="40" spans="3:14" x14ac:dyDescent="0.75">
      <c r="F40" s="4"/>
      <c r="N40" s="3"/>
    </row>
    <row r="42" spans="3:14" x14ac:dyDescent="0.75">
      <c r="F42" s="4"/>
    </row>
    <row r="44" spans="3:14" x14ac:dyDescent="0.75">
      <c r="F44" s="4"/>
    </row>
  </sheetData>
  <mergeCells count="14">
    <mergeCell ref="F28:G32"/>
    <mergeCell ref="A27:D27"/>
    <mergeCell ref="H8:H9"/>
    <mergeCell ref="J8:J9"/>
    <mergeCell ref="F20:G20"/>
    <mergeCell ref="I20:J20"/>
    <mergeCell ref="A19:K19"/>
    <mergeCell ref="F27:G27"/>
    <mergeCell ref="I27:J27"/>
    <mergeCell ref="F24:G24"/>
    <mergeCell ref="F25:G25"/>
    <mergeCell ref="I25:J25"/>
    <mergeCell ref="F26:G26"/>
    <mergeCell ref="I26:J26"/>
  </mergeCells>
  <pageMargins left="0.37" right="0.17" top="0.37" bottom="0.17" header="0.3" footer="0.3"/>
  <pageSetup paperSize="9" scale="42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90องศา</vt:lpstr>
      <vt:lpstr>'90องศา'!Print_Area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Utain  Boonmee</dc:creator>
  <cp:lastModifiedBy>nsddopa1@forthcorp.onmicrosoft.com</cp:lastModifiedBy>
  <cp:lastPrinted>2023-12-04T10:04:06Z</cp:lastPrinted>
  <dcterms:created xsi:type="dcterms:W3CDTF">2023-09-06T02:57:16Z</dcterms:created>
  <dcterms:modified xsi:type="dcterms:W3CDTF">2026-09-18T03:24:03Z</dcterms:modified>
</cp:coreProperties>
</file>