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erat\Desktop\Project\"/>
    </mc:Choice>
  </mc:AlternateContent>
  <xr:revisionPtr revIDLastSave="0" documentId="13_ncr:1_{23F86053-0BE6-41C2-9F43-B620F7ED69DB}" xr6:coauthVersionLast="47" xr6:coauthVersionMax="47" xr10:uidLastSave="{00000000-0000-0000-0000-000000000000}"/>
  <bookViews>
    <workbookView xWindow="-108" yWindow="-108" windowWidth="23256" windowHeight="12456" tabRatio="843" xr2:uid="{5D0D4F63-D4D4-4C8C-977D-010A277C868F}"/>
  </bookViews>
  <sheets>
    <sheet name="180องศา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9" l="1"/>
  <c r="G12" i="9" s="1"/>
  <c r="G13" i="9" s="1"/>
  <c r="J11" i="9"/>
  <c r="J12" i="9" s="1"/>
  <c r="J13" i="9" s="1"/>
  <c r="J4" i="9"/>
  <c r="J5" i="9" s="1"/>
  <c r="J6" i="9" s="1"/>
  <c r="G3" i="9"/>
  <c r="G4" i="9" s="1"/>
  <c r="G5" i="9" s="1"/>
  <c r="G10" i="9"/>
  <c r="J3" i="9"/>
  <c r="J10" i="9"/>
  <c r="C13" i="9" l="1"/>
  <c r="C14" i="9" l="1"/>
  <c r="C12" i="9" l="1"/>
  <c r="C11" i="9"/>
</calcChain>
</file>

<file path=xl/sharedStrings.xml><?xml version="1.0" encoding="utf-8"?>
<sst xmlns="http://schemas.openxmlformats.org/spreadsheetml/2006/main" count="57" uniqueCount="43">
  <si>
    <t>ความยาวเม้าติ้ง</t>
  </si>
  <si>
    <t>ระยะ(m.)</t>
  </si>
  <si>
    <t>เติมตัวเลขความยาวล่อฟ้า</t>
  </si>
  <si>
    <t>ระยะห่างแท่งล่อฟ้ากับขาเม้าส์</t>
  </si>
  <si>
    <t>ความยาวเม้ายึด Omni</t>
  </si>
  <si>
    <t>ความสูงเสา</t>
  </si>
  <si>
    <t>ค่ารูท2 ใช้กับด้านตรงข้ามล่อฟ้า</t>
  </si>
  <si>
    <t>รายการคำนวณ</t>
  </si>
  <si>
    <t>เสาที่ตรงข้ามล่อฟ้า</t>
  </si>
  <si>
    <t>C</t>
  </si>
  <si>
    <t>เสาต้นที่ A</t>
  </si>
  <si>
    <t>เสาต้นที่ C</t>
  </si>
  <si>
    <t>เสาต้นที่ B</t>
  </si>
  <si>
    <t>เสาต้นที่ D</t>
  </si>
  <si>
    <t>A</t>
  </si>
  <si>
    <t>B</t>
  </si>
  <si>
    <t>(ล่อฟ้า)-(B)</t>
  </si>
  <si>
    <t>D</t>
  </si>
  <si>
    <t>(D)+ความสูงเสา</t>
  </si>
  <si>
    <t>เสาที่มีล่อฟ้า</t>
  </si>
  <si>
    <t>ความยาวสายอากาศตามการใช้งาน</t>
  </si>
  <si>
    <t>มุม 45 = 1 , มุม 30 = 0.578</t>
  </si>
  <si>
    <t>ค่า tan (มุมป้องกัน) = TAN(P)</t>
  </si>
  <si>
    <t>รายการคำนวณระดับความสูงในการติดตั้ง ANT เมื่อขาจับยึดทำมุม 180 องศา กับแนวอ้างอิง</t>
  </si>
  <si>
    <t>(หน้ากว้างเสา) + (mounting)</t>
  </si>
  <si>
    <t>ค่ารูท2 = Root(2)</t>
  </si>
  <si>
    <t>[ (หน้าเสา) x Root(2) ] + (mounting)</t>
  </si>
  <si>
    <t>ความยาวสายอากาศ Omni</t>
  </si>
  <si>
    <t>ความยาวล่อฟ้า</t>
  </si>
  <si>
    <t>ระยะหน้ากว้างเสา</t>
  </si>
  <si>
    <t>ความสูงสายอากาศที่ติดบนเสา</t>
  </si>
  <si>
    <t>ความสูงเสา - (C)</t>
  </si>
  <si>
    <t>ความสูงเสา - (B)</t>
  </si>
  <si>
    <t>[ mounting + (Omni * TAN(P)) ] / TAN(P)</t>
  </si>
  <si>
    <t xml:space="preserve">(A) - (ล่อฟ้า) </t>
  </si>
  <si>
    <t>ระดับความสูงที่ต้องลดลงจากยอดเสา A</t>
  </si>
  <si>
    <t>[ (A) + (Omni * TAN(P)) ] / TAN(P)</t>
  </si>
  <si>
    <t xml:space="preserve">(B) - (ล่อฟ้า) </t>
  </si>
  <si>
    <t>ระดับความสูงที่ต้องลดลงจากยอดเสา B</t>
  </si>
  <si>
    <t>ระดับความสูงที่ต้องลดลงจากยอดเสา C</t>
  </si>
  <si>
    <t>ระดับความสูงที่ต้องลดลงจากยอดเสา D</t>
  </si>
  <si>
    <t>ค่าเป็นลบ คือ สามารถเพิ่มระยะขึ้นจากยอดเสาตามค่าที่คำนวนได้</t>
  </si>
  <si>
    <t>ค่าเป็นบวก คือ ต้องลดระยะลงจากยอดเสาตามค่าที่คำนวนได้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</si>
</sst>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0.000"/>
    <numFmt numFmtId="188" formatCode="0.0"/>
  </numFmts>
  <fonts count="13" x14ac:knownFonts="1"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sz val="16"/>
      <color theme="1"/>
      <name val="TH Sarabun New"/>
      <family val="2"/>
    </font>
    <font>
      <u/>
      <sz val="16"/>
      <color theme="10"/>
      <name val="TH Sarabun New"/>
      <family val="2"/>
    </font>
    <font>
      <sz val="18"/>
      <color theme="1"/>
      <name val="TH Sarabun New"/>
      <family val="2"/>
    </font>
    <font>
      <sz val="20"/>
      <color theme="1"/>
      <name val="TH Sarabun New"/>
      <family val="2"/>
    </font>
    <font>
      <b/>
      <sz val="18"/>
      <color theme="1"/>
      <name val="TH Sarabun New"/>
      <family val="2"/>
    </font>
    <font>
      <sz val="18"/>
      <color rgb="FFFF0000"/>
      <name val="TH Sarabun New"/>
      <family val="2"/>
    </font>
    <font>
      <b/>
      <sz val="18"/>
      <name val="TH Sarabun New"/>
      <family val="2"/>
    </font>
    <font>
      <sz val="18"/>
      <name val="TH Sarabun New"/>
      <family val="2"/>
    </font>
    <font>
      <b/>
      <sz val="18"/>
      <color rgb="FFFF0000"/>
      <name val="TH Sarabun New"/>
      <family val="2"/>
    </font>
    <font>
      <b/>
      <sz val="28"/>
      <color theme="1"/>
      <name val="TH Sarabun New"/>
      <family val="2"/>
    </font>
    <font>
      <b/>
      <sz val="20"/>
      <color theme="1"/>
      <name val="TH Sarabun Ne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1" applyFont="1"/>
    <xf numFmtId="0" fontId="4" fillId="0" borderId="0" xfId="0" applyFont="1"/>
    <xf numFmtId="0" fontId="5" fillId="0" borderId="0" xfId="0" applyFont="1"/>
    <xf numFmtId="0" fontId="4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1" xfId="0" applyFont="1" applyFill="1" applyBorder="1"/>
    <xf numFmtId="2" fontId="9" fillId="3" borderId="1" xfId="0" applyNumberFormat="1" applyFont="1" applyFill="1" applyBorder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/>
    <xf numFmtId="2" fontId="9" fillId="3" borderId="5" xfId="0" applyNumberFormat="1" applyFont="1" applyFill="1" applyBorder="1"/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187" fontId="4" fillId="0" borderId="0" xfId="0" applyNumberFormat="1" applyFont="1"/>
    <xf numFmtId="0" fontId="4" fillId="0" borderId="0" xfId="0" applyFont="1" applyAlignment="1">
      <alignment vertical="center"/>
    </xf>
    <xf numFmtId="0" fontId="7" fillId="0" borderId="0" xfId="0" applyFont="1"/>
    <xf numFmtId="0" fontId="4" fillId="0" borderId="9" xfId="0" applyFont="1" applyBorder="1" applyAlignment="1">
      <alignment horizontal="center"/>
    </xf>
    <xf numFmtId="2" fontId="4" fillId="0" borderId="13" xfId="0" applyNumberFormat="1" applyFont="1" applyBorder="1"/>
    <xf numFmtId="2" fontId="4" fillId="4" borderId="14" xfId="0" applyNumberFormat="1" applyFont="1" applyFill="1" applyBorder="1"/>
    <xf numFmtId="0" fontId="6" fillId="0" borderId="0" xfId="0" applyFont="1"/>
    <xf numFmtId="0" fontId="9" fillId="0" borderId="0" xfId="0" applyFont="1"/>
    <xf numFmtId="2" fontId="4" fillId="0" borderId="0" xfId="0" applyNumberFormat="1" applyFont="1"/>
    <xf numFmtId="2" fontId="9" fillId="0" borderId="0" xfId="0" applyNumberFormat="1" applyFont="1"/>
    <xf numFmtId="188" fontId="4" fillId="0" borderId="0" xfId="0" applyNumberFormat="1" applyFont="1"/>
    <xf numFmtId="0" fontId="7" fillId="5" borderId="2" xfId="0" applyFont="1" applyFill="1" applyBorder="1"/>
    <xf numFmtId="0" fontId="7" fillId="5" borderId="4" xfId="0" applyFont="1" applyFill="1" applyBorder="1"/>
    <xf numFmtId="0" fontId="4" fillId="0" borderId="6" xfId="0" applyFont="1" applyBorder="1" applyAlignment="1">
      <alignment horizontal="center"/>
    </xf>
    <xf numFmtId="0" fontId="4" fillId="5" borderId="15" xfId="0" applyFont="1" applyFill="1" applyBorder="1"/>
    <xf numFmtId="0" fontId="4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2" fontId="4" fillId="4" borderId="17" xfId="0" applyNumberFormat="1" applyFont="1" applyFill="1" applyBorder="1"/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2" fontId="4" fillId="0" borderId="17" xfId="0" applyNumberFormat="1" applyFont="1" applyBorder="1"/>
    <xf numFmtId="2" fontId="4" fillId="0" borderId="6" xfId="0" applyNumberFormat="1" applyFont="1" applyBorder="1"/>
    <xf numFmtId="2" fontId="4" fillId="8" borderId="8" xfId="0" applyNumberFormat="1" applyFont="1" applyFill="1" applyBorder="1"/>
    <xf numFmtId="0" fontId="10" fillId="7" borderId="22" xfId="0" applyFont="1" applyFill="1" applyBorder="1" applyAlignment="1">
      <alignment horizontal="center"/>
    </xf>
    <xf numFmtId="0" fontId="2" fillId="7" borderId="22" xfId="0" applyFont="1" applyFill="1" applyBorder="1"/>
    <xf numFmtId="0" fontId="2" fillId="7" borderId="23" xfId="0" applyFont="1" applyFill="1" applyBorder="1"/>
    <xf numFmtId="2" fontId="4" fillId="8" borderId="16" xfId="0" applyNumberFormat="1" applyFont="1" applyFill="1" applyBorder="1"/>
    <xf numFmtId="0" fontId="4" fillId="7" borderId="22" xfId="0" applyFont="1" applyFill="1" applyBorder="1"/>
    <xf numFmtId="0" fontId="7" fillId="7" borderId="23" xfId="0" applyFont="1" applyFill="1" applyBorder="1"/>
    <xf numFmtId="0" fontId="4" fillId="0" borderId="25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0" fillId="7" borderId="26" xfId="0" applyFont="1" applyFill="1" applyBorder="1" applyAlignment="1">
      <alignment horizontal="center"/>
    </xf>
    <xf numFmtId="0" fontId="7" fillId="7" borderId="8" xfId="0" applyFont="1" applyFill="1" applyBorder="1"/>
    <xf numFmtId="0" fontId="2" fillId="7" borderId="8" xfId="0" applyFont="1" applyFill="1" applyBorder="1"/>
    <xf numFmtId="0" fontId="4" fillId="0" borderId="18" xfId="0" applyFont="1" applyBorder="1"/>
    <xf numFmtId="0" fontId="4" fillId="0" borderId="9" xfId="0" applyFont="1" applyBorder="1"/>
    <xf numFmtId="0" fontId="4" fillId="3" borderId="25" xfId="0" applyFont="1" applyFill="1" applyBorder="1" applyAlignment="1">
      <alignment horizontal="center"/>
    </xf>
    <xf numFmtId="0" fontId="4" fillId="3" borderId="18" xfId="0" applyFont="1" applyFill="1" applyBorder="1"/>
    <xf numFmtId="0" fontId="7" fillId="5" borderId="25" xfId="0" applyFont="1" applyFill="1" applyBorder="1"/>
    <xf numFmtId="2" fontId="4" fillId="0" borderId="18" xfId="0" applyNumberFormat="1" applyFont="1" applyBorder="1"/>
    <xf numFmtId="2" fontId="4" fillId="0" borderId="14" xfId="0" applyNumberFormat="1" applyFont="1" applyBorder="1"/>
    <xf numFmtId="0" fontId="7" fillId="5" borderId="30" xfId="0" applyFont="1" applyFill="1" applyBorder="1"/>
    <xf numFmtId="0" fontId="4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vertical="center"/>
    </xf>
    <xf numFmtId="0" fontId="12" fillId="0" borderId="31" xfId="0" applyFont="1" applyBorder="1" applyAlignment="1">
      <alignment horizontal="center" vertical="center"/>
    </xf>
    <xf numFmtId="0" fontId="4" fillId="0" borderId="29" xfId="0" applyFont="1" applyBorder="1" applyAlignment="1">
      <alignment vertical="center"/>
    </xf>
    <xf numFmtId="0" fontId="10" fillId="7" borderId="24" xfId="0" applyFont="1" applyFill="1" applyBorder="1" applyAlignment="1">
      <alignment horizontal="center"/>
    </xf>
    <xf numFmtId="0" fontId="2" fillId="7" borderId="8" xfId="0" applyFont="1" applyFill="1" applyBorder="1" applyAlignment="1">
      <alignment vertical="center"/>
    </xf>
    <xf numFmtId="0" fontId="9" fillId="2" borderId="21" xfId="0" applyFont="1" applyFill="1" applyBorder="1"/>
    <xf numFmtId="0" fontId="9" fillId="2" borderId="22" xfId="0" applyFont="1" applyFill="1" applyBorder="1"/>
    <xf numFmtId="2" fontId="9" fillId="3" borderId="12" xfId="0" applyNumberFormat="1" applyFont="1" applyFill="1" applyBorder="1"/>
    <xf numFmtId="0" fontId="9" fillId="2" borderId="8" xfId="0" applyFont="1" applyFill="1" applyBorder="1"/>
    <xf numFmtId="0" fontId="4" fillId="0" borderId="32" xfId="0" applyFont="1" applyBorder="1"/>
    <xf numFmtId="0" fontId="4" fillId="0" borderId="24" xfId="0" applyFont="1" applyBorder="1"/>
    <xf numFmtId="0" fontId="9" fillId="2" borderId="23" xfId="0" applyFont="1" applyFill="1" applyBorder="1"/>
    <xf numFmtId="0" fontId="4" fillId="3" borderId="32" xfId="0" applyFont="1" applyFill="1" applyBorder="1"/>
    <xf numFmtId="0" fontId="11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6" borderId="31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3" borderId="30" xfId="0" applyFont="1" applyFill="1" applyBorder="1" applyAlignment="1">
      <alignment horizontal="center"/>
    </xf>
    <xf numFmtId="0" fontId="6" fillId="3" borderId="31" xfId="0" applyFont="1" applyFill="1" applyBorder="1" applyAlignment="1">
      <alignment horizontal="center"/>
    </xf>
    <xf numFmtId="0" fontId="6" fillId="3" borderId="29" xfId="0" applyFont="1" applyFill="1" applyBorder="1" applyAlignment="1">
      <alignment horizontal="center"/>
    </xf>
    <xf numFmtId="0" fontId="8" fillId="6" borderId="27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72F927"/>
      <color rgb="FFFFCCFF"/>
      <color rgb="FFFF00FF"/>
      <color rgb="FFFBFCD0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578037</xdr:colOff>
      <xdr:row>0</xdr:row>
      <xdr:rowOff>0</xdr:rowOff>
    </xdr:from>
    <xdr:to>
      <xdr:col>26</xdr:col>
      <xdr:colOff>141528</xdr:colOff>
      <xdr:row>17</xdr:row>
      <xdr:rowOff>37602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05969D-C5FC-6148-7CB7-97DA2A882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937" y="0"/>
          <a:ext cx="10167991" cy="6425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9DC6C-AD68-4DDE-B0E1-F6FF114CD00C}">
  <sheetPr>
    <tabColor rgb="FF92D050"/>
  </sheetPr>
  <dimension ref="A1:W39"/>
  <sheetViews>
    <sheetView tabSelected="1" zoomScale="55" zoomScaleNormal="55" workbookViewId="0">
      <selection activeCell="D3" sqref="D3"/>
    </sheetView>
  </sheetViews>
  <sheetFormatPr defaultColWidth="8.796875" defaultRowHeight="27" x14ac:dyDescent="0.75"/>
  <cols>
    <col min="1" max="1" width="5.69921875" style="14" customWidth="1"/>
    <col min="2" max="2" width="34.69921875" style="4" bestFit="1" customWidth="1"/>
    <col min="3" max="3" width="13.8984375" style="4" customWidth="1"/>
    <col min="4" max="4" width="31.8984375" style="4" customWidth="1"/>
    <col min="5" max="5" width="2.796875" style="4" customWidth="1"/>
    <col min="6" max="6" width="37.8984375" style="14" customWidth="1"/>
    <col min="7" max="7" width="8.8984375" style="4" customWidth="1"/>
    <col min="8" max="8" width="5.8984375" style="4" customWidth="1"/>
    <col min="9" max="9" width="31.69921875" style="14" bestFit="1" customWidth="1"/>
    <col min="10" max="10" width="11.69921875" style="4" customWidth="1"/>
    <col min="11" max="11" width="4.3984375" style="1" customWidth="1"/>
    <col min="12" max="19" width="8.796875" style="1"/>
    <col min="20" max="20" width="15.3984375" style="1" customWidth="1"/>
    <col min="21" max="16384" width="8.796875" style="1"/>
  </cols>
  <sheetData>
    <row r="1" spans="1:23" ht="55.05" customHeight="1" thickBot="1" x14ac:dyDescent="0.75">
      <c r="A1" s="71" t="s">
        <v>23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23" s="2" customFormat="1" ht="30.6" thickBot="1" x14ac:dyDescent="0.8">
      <c r="A2" s="57"/>
      <c r="B2" s="58" t="s">
        <v>7</v>
      </c>
      <c r="C2" s="59" t="s">
        <v>1</v>
      </c>
      <c r="D2" s="60"/>
      <c r="E2" s="56"/>
      <c r="F2" s="74" t="s">
        <v>10</v>
      </c>
      <c r="G2" s="75"/>
      <c r="H2" s="47"/>
      <c r="I2" s="76" t="s">
        <v>12</v>
      </c>
      <c r="J2" s="77"/>
      <c r="K2" s="62"/>
    </row>
    <row r="3" spans="1:23" ht="27.6" thickBot="1" x14ac:dyDescent="0.8">
      <c r="A3" s="44">
        <v>1</v>
      </c>
      <c r="B3" s="49" t="s">
        <v>28</v>
      </c>
      <c r="C3" s="63">
        <v>6.5</v>
      </c>
      <c r="D3" s="67" t="s">
        <v>2</v>
      </c>
      <c r="E3" s="53"/>
      <c r="F3" s="45" t="s">
        <v>33</v>
      </c>
      <c r="G3" s="35">
        <f>($C$5+($C$6*$C$7))/$C$7</f>
        <v>5.65</v>
      </c>
      <c r="H3" s="46" t="s">
        <v>14</v>
      </c>
      <c r="I3" s="45" t="s">
        <v>24</v>
      </c>
      <c r="J3" s="55">
        <f>$C$4+$C$5</f>
        <v>2.7</v>
      </c>
      <c r="K3" s="46" t="s">
        <v>14</v>
      </c>
    </row>
    <row r="4" spans="1:23" ht="27.6" thickBot="1" x14ac:dyDescent="0.8">
      <c r="A4" s="6">
        <v>2</v>
      </c>
      <c r="B4" s="50" t="s">
        <v>29</v>
      </c>
      <c r="C4" s="64">
        <v>1.2</v>
      </c>
      <c r="D4" s="68" t="s">
        <v>3</v>
      </c>
      <c r="E4" s="26"/>
      <c r="F4" s="18" t="s">
        <v>34</v>
      </c>
      <c r="G4" s="41">
        <f>G3-$C$3</f>
        <v>-0.84999999999999964</v>
      </c>
      <c r="H4" s="38" t="s">
        <v>15</v>
      </c>
      <c r="I4" s="31" t="s">
        <v>36</v>
      </c>
      <c r="J4" s="19">
        <f>(J3+($C$6*$C$7))/$C$7</f>
        <v>6.8500000000000005</v>
      </c>
      <c r="K4" s="38" t="s">
        <v>15</v>
      </c>
    </row>
    <row r="5" spans="1:23" ht="30.6" thickBot="1" x14ac:dyDescent="0.9">
      <c r="A5" s="6">
        <v>3</v>
      </c>
      <c r="B5" s="50" t="s">
        <v>0</v>
      </c>
      <c r="C5" s="64">
        <v>1.5</v>
      </c>
      <c r="D5" s="68" t="s">
        <v>4</v>
      </c>
      <c r="E5" s="26"/>
      <c r="F5" s="30" t="s">
        <v>32</v>
      </c>
      <c r="G5" s="32">
        <f>$C$10-G4</f>
        <v>72.849999999999994</v>
      </c>
      <c r="H5" s="38" t="s">
        <v>9</v>
      </c>
      <c r="I5" s="33" t="s">
        <v>37</v>
      </c>
      <c r="J5" s="37">
        <f>J4-$C$3</f>
        <v>0.35000000000000053</v>
      </c>
      <c r="K5" s="38" t="s">
        <v>9</v>
      </c>
      <c r="V5" s="5"/>
      <c r="W5" s="5"/>
    </row>
    <row r="6" spans="1:23" x14ac:dyDescent="0.75">
      <c r="A6" s="6">
        <v>4</v>
      </c>
      <c r="B6" s="50" t="s">
        <v>27</v>
      </c>
      <c r="C6" s="64">
        <v>4.1500000000000004</v>
      </c>
      <c r="D6" s="68" t="s">
        <v>20</v>
      </c>
      <c r="E6" s="29"/>
      <c r="F6" s="72"/>
      <c r="G6" s="73"/>
      <c r="H6" s="42"/>
      <c r="I6" s="31" t="s">
        <v>31</v>
      </c>
      <c r="J6" s="20">
        <f>$C$10-J5</f>
        <v>71.650000000000006</v>
      </c>
      <c r="K6" s="39"/>
    </row>
    <row r="7" spans="1:23" x14ac:dyDescent="0.75">
      <c r="A7" s="6">
        <v>5</v>
      </c>
      <c r="B7" s="50" t="s">
        <v>22</v>
      </c>
      <c r="C7" s="64">
        <v>1</v>
      </c>
      <c r="D7" s="68" t="s">
        <v>21</v>
      </c>
      <c r="E7" s="29"/>
      <c r="F7" s="72"/>
      <c r="G7" s="73"/>
      <c r="H7" s="42"/>
      <c r="I7" s="78"/>
      <c r="J7" s="79"/>
      <c r="K7" s="39"/>
    </row>
    <row r="8" spans="1:23" ht="27.6" thickBot="1" x14ac:dyDescent="0.8">
      <c r="A8" s="6">
        <v>6</v>
      </c>
      <c r="B8" s="50" t="s">
        <v>25</v>
      </c>
      <c r="C8" s="69">
        <v>1.415</v>
      </c>
      <c r="D8" s="68" t="s">
        <v>6</v>
      </c>
      <c r="E8" s="29"/>
      <c r="F8" s="72"/>
      <c r="G8" s="73"/>
      <c r="H8" s="42"/>
      <c r="I8" s="78"/>
      <c r="J8" s="79"/>
      <c r="K8" s="39"/>
    </row>
    <row r="9" spans="1:23" ht="27.6" thickBot="1" x14ac:dyDescent="0.8">
      <c r="A9" s="80" t="s">
        <v>30</v>
      </c>
      <c r="B9" s="81"/>
      <c r="C9" s="81"/>
      <c r="D9" s="82"/>
      <c r="E9" s="56"/>
      <c r="F9" s="74" t="s">
        <v>11</v>
      </c>
      <c r="G9" s="75"/>
      <c r="H9" s="47"/>
      <c r="I9" s="83" t="s">
        <v>13</v>
      </c>
      <c r="J9" s="84"/>
      <c r="K9" s="48"/>
    </row>
    <row r="10" spans="1:23" ht="27.6" thickBot="1" x14ac:dyDescent="0.8">
      <c r="A10" s="51"/>
      <c r="B10" s="52" t="s">
        <v>5</v>
      </c>
      <c r="C10" s="66">
        <v>72</v>
      </c>
      <c r="D10" s="70"/>
      <c r="E10" s="53"/>
      <c r="F10" s="45" t="s">
        <v>26</v>
      </c>
      <c r="G10" s="54">
        <f>($C$4*$C$8)+$C$5</f>
        <v>3.198</v>
      </c>
      <c r="H10" s="46" t="s">
        <v>14</v>
      </c>
      <c r="I10" s="45" t="s">
        <v>24</v>
      </c>
      <c r="J10" s="55">
        <f>$C$4+$C$5</f>
        <v>2.7</v>
      </c>
      <c r="K10" s="46" t="s">
        <v>14</v>
      </c>
    </row>
    <row r="11" spans="1:23" ht="27.6" thickBot="1" x14ac:dyDescent="0.8">
      <c r="A11" s="7"/>
      <c r="B11" s="8" t="s">
        <v>35</v>
      </c>
      <c r="C11" s="65">
        <f>G4</f>
        <v>-0.84999999999999964</v>
      </c>
      <c r="D11" s="8" t="s">
        <v>19</v>
      </c>
      <c r="E11" s="26"/>
      <c r="F11" s="31" t="s">
        <v>36</v>
      </c>
      <c r="G11" s="19">
        <f>(G10+($C$6*$C$7))/$C$7</f>
        <v>7.3480000000000008</v>
      </c>
      <c r="H11" s="38" t="s">
        <v>15</v>
      </c>
      <c r="I11" s="31" t="s">
        <v>36</v>
      </c>
      <c r="J11" s="19">
        <f>(J10+($C$6*$C$7))/$C$7</f>
        <v>6.8500000000000005</v>
      </c>
      <c r="K11" s="38" t="s">
        <v>15</v>
      </c>
    </row>
    <row r="12" spans="1:23" ht="27.6" thickBot="1" x14ac:dyDescent="0.8">
      <c r="A12" s="7"/>
      <c r="B12" s="8" t="s">
        <v>38</v>
      </c>
      <c r="C12" s="9">
        <f>J5</f>
        <v>0.35000000000000053</v>
      </c>
      <c r="D12" s="8"/>
      <c r="E12" s="26"/>
      <c r="F12" s="18" t="s">
        <v>16</v>
      </c>
      <c r="G12" s="37">
        <f>G11-$C$3</f>
        <v>0.84800000000000075</v>
      </c>
      <c r="H12" s="61" t="s">
        <v>9</v>
      </c>
      <c r="I12" s="33" t="s">
        <v>37</v>
      </c>
      <c r="J12" s="37">
        <f>J11-$C$3</f>
        <v>0.35000000000000053</v>
      </c>
      <c r="K12" s="38" t="s">
        <v>9</v>
      </c>
    </row>
    <row r="13" spans="1:23" x14ac:dyDescent="0.75">
      <c r="A13" s="7"/>
      <c r="B13" s="8" t="s">
        <v>39</v>
      </c>
      <c r="C13" s="9">
        <f>G12</f>
        <v>0.84800000000000075</v>
      </c>
      <c r="D13" s="8" t="s">
        <v>8</v>
      </c>
      <c r="E13" s="26"/>
      <c r="F13" s="30" t="s">
        <v>18</v>
      </c>
      <c r="G13" s="20">
        <f>$C$10-G12</f>
        <v>71.152000000000001</v>
      </c>
      <c r="H13" s="38" t="s">
        <v>17</v>
      </c>
      <c r="I13" s="31" t="s">
        <v>31</v>
      </c>
      <c r="J13" s="20">
        <f>$C$10-J12</f>
        <v>71.650000000000006</v>
      </c>
      <c r="K13" s="39"/>
    </row>
    <row r="14" spans="1:23" ht="27.6" thickBot="1" x14ac:dyDescent="0.8">
      <c r="A14" s="10"/>
      <c r="B14" s="11" t="s">
        <v>40</v>
      </c>
      <c r="C14" s="12">
        <f>J12</f>
        <v>0.35000000000000053</v>
      </c>
      <c r="D14" s="11"/>
      <c r="E14" s="27"/>
      <c r="F14" s="13"/>
      <c r="G14" s="36"/>
      <c r="H14" s="43"/>
      <c r="I14" s="34"/>
      <c r="J14" s="28"/>
      <c r="K14" s="40"/>
    </row>
    <row r="15" spans="1:23" x14ac:dyDescent="0.75">
      <c r="F15" s="4"/>
      <c r="I15" s="4"/>
    </row>
    <row r="16" spans="1:23" x14ac:dyDescent="0.75">
      <c r="C16" s="4" t="s">
        <v>42</v>
      </c>
      <c r="F16" s="4"/>
      <c r="I16" s="4"/>
    </row>
    <row r="17" spans="1:10" x14ac:dyDescent="0.75">
      <c r="A17" s="21"/>
      <c r="C17" s="4" t="s">
        <v>41</v>
      </c>
      <c r="G17" s="21"/>
      <c r="H17" s="21"/>
      <c r="I17" s="21"/>
      <c r="J17" s="21"/>
    </row>
    <row r="18" spans="1:10" x14ac:dyDescent="0.75">
      <c r="G18" s="16"/>
      <c r="H18" s="17"/>
      <c r="I18" s="16"/>
      <c r="J18" s="16"/>
    </row>
    <row r="19" spans="1:10" x14ac:dyDescent="0.75">
      <c r="H19" s="17"/>
    </row>
    <row r="20" spans="1:10" x14ac:dyDescent="0.75">
      <c r="H20" s="17"/>
    </row>
    <row r="21" spans="1:10" x14ac:dyDescent="0.75">
      <c r="H21" s="17"/>
    </row>
    <row r="23" spans="1:10" x14ac:dyDescent="0.75">
      <c r="I23" s="4"/>
    </row>
    <row r="24" spans="1:10" x14ac:dyDescent="0.75">
      <c r="A24" s="21"/>
      <c r="G24" s="16"/>
      <c r="H24" s="17"/>
      <c r="I24" s="16"/>
      <c r="J24" s="16"/>
    </row>
    <row r="25" spans="1:10" x14ac:dyDescent="0.75">
      <c r="H25" s="17"/>
      <c r="J25" s="23"/>
    </row>
    <row r="26" spans="1:10" x14ac:dyDescent="0.75">
      <c r="H26" s="17"/>
      <c r="J26" s="23"/>
    </row>
    <row r="27" spans="1:10" x14ac:dyDescent="0.75">
      <c r="C27" s="24"/>
      <c r="E27" s="17"/>
      <c r="G27" s="25"/>
      <c r="H27" s="17"/>
      <c r="J27" s="23"/>
    </row>
    <row r="28" spans="1:10" x14ac:dyDescent="0.75">
      <c r="C28" s="22"/>
      <c r="E28" s="17"/>
      <c r="F28" s="4"/>
      <c r="H28" s="17"/>
      <c r="J28" s="23"/>
    </row>
    <row r="29" spans="1:10" x14ac:dyDescent="0.75">
      <c r="C29" s="24"/>
      <c r="E29" s="17"/>
      <c r="F29" s="4"/>
      <c r="H29" s="17"/>
      <c r="J29" s="23"/>
    </row>
    <row r="30" spans="1:10" x14ac:dyDescent="0.75">
      <c r="F30" s="4"/>
      <c r="I30" s="4"/>
    </row>
    <row r="35" spans="4:12" x14ac:dyDescent="0.75">
      <c r="L35" s="3"/>
    </row>
    <row r="39" spans="4:12" x14ac:dyDescent="0.75">
      <c r="D39" s="15"/>
    </row>
  </sheetData>
  <mergeCells count="11">
    <mergeCell ref="A9:D9"/>
    <mergeCell ref="F9:G9"/>
    <mergeCell ref="I9:J9"/>
    <mergeCell ref="F8:G8"/>
    <mergeCell ref="I8:J8"/>
    <mergeCell ref="A1:K1"/>
    <mergeCell ref="F6:G6"/>
    <mergeCell ref="F2:G2"/>
    <mergeCell ref="I2:J2"/>
    <mergeCell ref="F7:G7"/>
    <mergeCell ref="I7:J7"/>
  </mergeCells>
  <pageMargins left="0.70866141732283472" right="0.70866141732283472" top="0.74803149606299213" bottom="0.74803149606299213" header="0.31496062992125984" footer="0.31496062992125984"/>
  <pageSetup paperSize="8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180องศา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Utain  Boonmee</dc:creator>
  <cp:lastModifiedBy>nsddopa1@forthcorp.onmicrosoft.com</cp:lastModifiedBy>
  <cp:lastPrinted>2023-12-04T10:04:06Z</cp:lastPrinted>
  <dcterms:created xsi:type="dcterms:W3CDTF">2023-09-06T02:57:16Z</dcterms:created>
  <dcterms:modified xsi:type="dcterms:W3CDTF">2026-09-18T03:24:48Z</dcterms:modified>
</cp:coreProperties>
</file>