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erat\Desktop\Project\"/>
    </mc:Choice>
  </mc:AlternateContent>
  <xr:revisionPtr revIDLastSave="0" documentId="13_ncr:1_{EBA4B108-98E0-463A-BF92-5BB1B4DF585F}" xr6:coauthVersionLast="47" xr6:coauthVersionMax="47" xr10:uidLastSave="{00000000-0000-0000-0000-000000000000}"/>
  <bookViews>
    <workbookView xWindow="-108" yWindow="-108" windowWidth="23256" windowHeight="12456" tabRatio="843" xr2:uid="{5D0D4F63-D4D4-4C8C-977D-010A277C868F}"/>
  </bookViews>
  <sheets>
    <sheet name="135องศา " sheetId="25" r:id="rId1"/>
  </sheets>
  <definedNames>
    <definedName name="_xlnm.Print_Area" localSheetId="0">'135องศา '!$A$1:$U$34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5" l="1"/>
  <c r="J28" i="25"/>
  <c r="J29" i="25" s="1"/>
  <c r="J30" i="25" s="1"/>
  <c r="J31" i="25" s="1"/>
  <c r="J22" i="25"/>
  <c r="J23" i="25" s="1"/>
  <c r="J24" i="25" s="1"/>
  <c r="G21" i="25"/>
  <c r="G22" i="25" s="1"/>
  <c r="G23" i="25" s="1"/>
  <c r="J21" i="25"/>
  <c r="C22" i="25" l="1"/>
  <c r="N6" i="25"/>
  <c r="N7" i="25"/>
  <c r="C16" i="25"/>
  <c r="G9" i="25" s="1"/>
  <c r="G7" i="25"/>
  <c r="G6" i="25"/>
  <c r="J6" i="25" s="1"/>
  <c r="Q6" i="25" l="1"/>
  <c r="N11" i="25" s="1"/>
  <c r="N14" i="25" s="1"/>
  <c r="C23" i="25" s="1"/>
  <c r="G28" i="25" s="1"/>
  <c r="G29" i="25" s="1"/>
  <c r="G30" i="25" s="1"/>
  <c r="G11" i="25"/>
  <c r="G14" i="25" s="1"/>
  <c r="G31" i="25" l="1"/>
  <c r="C31" i="25"/>
  <c r="C29" i="25"/>
  <c r="C32" i="25" l="1"/>
  <c r="C30" i="25" l="1"/>
</calcChain>
</file>

<file path=xl/sharedStrings.xml><?xml version="1.0" encoding="utf-8"?>
<sst xmlns="http://schemas.openxmlformats.org/spreadsheetml/2006/main" count="66" uniqueCount="50">
  <si>
    <t>ความยาวเม้าติ้ง</t>
  </si>
  <si>
    <t>เติมตัวเลขความยาวล่อฟ้า</t>
  </si>
  <si>
    <t>ความยาวเม้ายึด Omni</t>
  </si>
  <si>
    <t>ความสูงเสา</t>
  </si>
  <si>
    <t>รายการคำนวณ</t>
  </si>
  <si>
    <t>เสาที่ตรงข้ามล่อฟ้า</t>
  </si>
  <si>
    <t>C</t>
  </si>
  <si>
    <t>ค่าสูตร</t>
  </si>
  <si>
    <t>เสาต้นที่ A</t>
  </si>
  <si>
    <t>เสาต้นที่ C</t>
  </si>
  <si>
    <t>เสาต้นที่ B</t>
  </si>
  <si>
    <t>เสาต้นที่ D</t>
  </si>
  <si>
    <t>?</t>
  </si>
  <si>
    <t>A</t>
  </si>
  <si>
    <t>B</t>
  </si>
  <si>
    <t>D</t>
  </si>
  <si>
    <t>เสาที่มีล่อฟ้า</t>
  </si>
  <si>
    <t>90 องศา ขา B และ D</t>
  </si>
  <si>
    <t>ระยะล่อฟ้าไปหาสายอากาศขา C (ค่า C )</t>
  </si>
  <si>
    <t>ระยะ(m)</t>
  </si>
  <si>
    <r>
      <rPr>
        <b/>
        <sz val="18"/>
        <color rgb="FFFF00FF"/>
        <rFont val="TH Sarabun New"/>
        <family val="2"/>
      </rPr>
      <t xml:space="preserve">(1)-(2)   </t>
    </r>
    <r>
      <rPr>
        <sz val="18"/>
        <color theme="1"/>
        <rFont val="TH Sarabun New"/>
        <family val="2"/>
      </rPr>
      <t>=</t>
    </r>
  </si>
  <si>
    <t>รายการคำนวณระดับความสูงในการติดตั้ง ANT เมื่อขาจับยึดทำมุม 90 องศา กับแนวอ้างอิง</t>
  </si>
  <si>
    <t xml:space="preserve">cos A = </t>
  </si>
  <si>
    <t>ความยาวสายอากาศตามการใช้งาน</t>
  </si>
  <si>
    <t>มุม 45 = 1 , มุม 30 = 0.578</t>
  </si>
  <si>
    <t>ค่า tan (มุมป้องกัน) = TAN(P)</t>
  </si>
  <si>
    <t>ระยะล่อฟ้าไปหาสายอากาศขา B, D (ค่า C )</t>
  </si>
  <si>
    <t>ความยาวสายอากาศ Omni</t>
  </si>
  <si>
    <t>ความยาวล่อฟ้า</t>
  </si>
  <si>
    <t>ระยะล่อฟ้าไปหาสายอากาศขา B</t>
  </si>
  <si>
    <t>ระยะล่อฟ้าไปหาสายอากาศขา D</t>
  </si>
  <si>
    <t xml:space="preserve"> ; A = 135 องศา</t>
  </si>
  <si>
    <t>**ใช้กับขา B และ D</t>
  </si>
  <si>
    <r>
      <rPr>
        <b/>
        <sz val="18"/>
        <color rgb="FFFF00FF"/>
        <rFont val="TH Sarabun New"/>
        <family val="2"/>
      </rPr>
      <t xml:space="preserve">(1)-(2)   </t>
    </r>
    <r>
      <rPr>
        <sz val="18"/>
        <color rgb="FFFF00FF"/>
        <rFont val="TH Sarabun New"/>
        <family val="2"/>
      </rPr>
      <t>=</t>
    </r>
  </si>
  <si>
    <t>**ใช้กับขา C เท่านั้น</t>
  </si>
  <si>
    <t>ระยะห่างแท่งล่อฟ้ากับสายอากาศขา B,D</t>
  </si>
  <si>
    <t>ระยะห่างแท่งล่อฟ้ากับสายอากาศขา C</t>
  </si>
  <si>
    <t>ความสูงสายอากาศที่ติดบนเสา</t>
  </si>
  <si>
    <t>ความสูงเสา - (C)</t>
  </si>
  <si>
    <t>ความสูงเสา - (B)</t>
  </si>
  <si>
    <t>ระดับความสูงจากยอดเสา A</t>
  </si>
  <si>
    <t>ระดับความสูงจากยอดเสา B</t>
  </si>
  <si>
    <t>ระดับความสูงจากยอดเสา C</t>
  </si>
  <si>
    <t>ระดับความสูงจากยอดเสา D</t>
  </si>
  <si>
    <t>[ mounting + (Omni * TAN(P)) ] / TAN(P)</t>
  </si>
  <si>
    <t xml:space="preserve">(A) - (ล่อฟ้า) </t>
  </si>
  <si>
    <t>[ (A) + (Omni * TAN(P)) ] / TAN(P)</t>
  </si>
  <si>
    <t xml:space="preserve">(B) - (ล่อฟ้า) </t>
  </si>
  <si>
    <t>ค่าเป็นลบ คือ สามารถเพิ่มระยะขึ้นจากยอดเสาตามค่าที่คำนวนได้</t>
  </si>
  <si>
    <t>ค่าเป็นบวก คือ ต้องลดระยะลงจากยอดเสาตามค่าที่คำนวนได้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</si>
</sst>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"/>
  </numFmts>
  <fonts count="19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TH Sarabun New"/>
      <family val="2"/>
    </font>
    <font>
      <u/>
      <sz val="16"/>
      <color theme="10"/>
      <name val="TH Sarabun New"/>
      <family val="2"/>
    </font>
    <font>
      <sz val="18"/>
      <color theme="1"/>
      <name val="TH Sarabun New"/>
      <family val="2"/>
    </font>
    <font>
      <sz val="20"/>
      <color theme="1"/>
      <name val="TH Sarabun New"/>
      <family val="2"/>
    </font>
    <font>
      <b/>
      <i/>
      <u/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sz val="18"/>
      <name val="TH Sarabun New"/>
      <family val="2"/>
    </font>
    <font>
      <b/>
      <sz val="18"/>
      <color rgb="FFFF00FF"/>
      <name val="TH Sarabun New"/>
      <family val="2"/>
    </font>
    <font>
      <b/>
      <sz val="18"/>
      <color rgb="FFFF0000"/>
      <name val="TH Sarabun New"/>
      <family val="2"/>
    </font>
    <font>
      <b/>
      <u/>
      <sz val="22"/>
      <color theme="1"/>
      <name val="TH Sarabun New"/>
      <family val="2"/>
    </font>
    <font>
      <b/>
      <sz val="26"/>
      <name val="TH Sarabun New"/>
      <family val="2"/>
    </font>
    <font>
      <b/>
      <sz val="14"/>
      <color theme="1"/>
      <name val="TH Sarabun New"/>
      <family val="2"/>
    </font>
    <font>
      <b/>
      <sz val="20"/>
      <color theme="1"/>
      <name val="TH Sarabun New"/>
      <family val="2"/>
    </font>
    <font>
      <b/>
      <i/>
      <sz val="20"/>
      <name val="TH Sarabun New"/>
      <family val="2"/>
    </font>
    <font>
      <sz val="18"/>
      <color rgb="FFFF00FF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/>
    <xf numFmtId="2" fontId="10" fillId="3" borderId="1" xfId="0" applyNumberFormat="1" applyFont="1" applyFill="1" applyBorder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/>
    <xf numFmtId="2" fontId="10" fillId="3" borderId="6" xfId="0" applyNumberFormat="1" applyFont="1" applyFill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2" fontId="4" fillId="0" borderId="14" xfId="0" applyNumberFormat="1" applyFont="1" applyBorder="1"/>
    <xf numFmtId="2" fontId="4" fillId="4" borderId="15" xfId="0" applyNumberFormat="1" applyFont="1" applyFill="1" applyBorder="1"/>
    <xf numFmtId="0" fontId="4" fillId="0" borderId="7" xfId="0" applyFont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15" fillId="0" borderId="0" xfId="0" applyFont="1"/>
    <xf numFmtId="2" fontId="4" fillId="4" borderId="18" xfId="0" applyNumberFormat="1" applyFont="1" applyFill="1" applyBorder="1"/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8" fillId="5" borderId="23" xfId="0" applyFont="1" applyFill="1" applyBorder="1"/>
    <xf numFmtId="0" fontId="4" fillId="5" borderId="24" xfId="0" applyFont="1" applyFill="1" applyBorder="1"/>
    <xf numFmtId="0" fontId="8" fillId="5" borderId="24" xfId="0" applyFont="1" applyFill="1" applyBorder="1"/>
    <xf numFmtId="0" fontId="8" fillId="5" borderId="25" xfId="0" applyFont="1" applyFill="1" applyBorder="1"/>
    <xf numFmtId="2" fontId="4" fillId="0" borderId="18" xfId="0" applyNumberFormat="1" applyFont="1" applyBorder="1"/>
    <xf numFmtId="0" fontId="10" fillId="0" borderId="3" xfId="0" applyFont="1" applyBorder="1" applyAlignment="1">
      <alignment horizontal="center"/>
    </xf>
    <xf numFmtId="2" fontId="4" fillId="10" borderId="9" xfId="0" applyNumberFormat="1" applyFont="1" applyFill="1" applyBorder="1"/>
    <xf numFmtId="0" fontId="12" fillId="8" borderId="24" xfId="0" applyFont="1" applyFill="1" applyBorder="1" applyAlignment="1">
      <alignment horizontal="center"/>
    </xf>
    <xf numFmtId="0" fontId="2" fillId="8" borderId="24" xfId="0" applyFont="1" applyFill="1" applyBorder="1"/>
    <xf numFmtId="0" fontId="2" fillId="8" borderId="25" xfId="0" applyFont="1" applyFill="1" applyBorder="1"/>
    <xf numFmtId="2" fontId="4" fillId="10" borderId="17" xfId="0" applyNumberFormat="1" applyFont="1" applyFill="1" applyBorder="1"/>
    <xf numFmtId="0" fontId="4" fillId="8" borderId="24" xfId="0" applyFont="1" applyFill="1" applyBorder="1"/>
    <xf numFmtId="0" fontId="8" fillId="8" borderId="25" xfId="0" applyFont="1" applyFill="1" applyBorder="1"/>
    <xf numFmtId="0" fontId="4" fillId="0" borderId="26" xfId="0" applyFont="1" applyBorder="1" applyAlignment="1">
      <alignment horizontal="center"/>
    </xf>
    <xf numFmtId="0" fontId="12" fillId="8" borderId="27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8" fillId="5" borderId="9" xfId="0" applyFont="1" applyFill="1" applyBorder="1"/>
    <xf numFmtId="0" fontId="8" fillId="8" borderId="9" xfId="0" applyFont="1" applyFill="1" applyBorder="1"/>
    <xf numFmtId="0" fontId="2" fillId="8" borderId="9" xfId="0" applyFont="1" applyFill="1" applyBorder="1"/>
    <xf numFmtId="0" fontId="4" fillId="0" borderId="17" xfId="0" applyFont="1" applyBorder="1" applyAlignment="1">
      <alignment vertical="center"/>
    </xf>
    <xf numFmtId="0" fontId="4" fillId="0" borderId="19" xfId="0" applyFont="1" applyBorder="1"/>
    <xf numFmtId="0" fontId="4" fillId="0" borderId="10" xfId="0" applyFont="1" applyBorder="1"/>
    <xf numFmtId="0" fontId="4" fillId="3" borderId="10" xfId="0" applyFont="1" applyFill="1" applyBorder="1"/>
    <xf numFmtId="0" fontId="4" fillId="3" borderId="20" xfId="0" applyFont="1" applyFill="1" applyBorder="1"/>
    <xf numFmtId="0" fontId="4" fillId="0" borderId="28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/>
    <xf numFmtId="0" fontId="4" fillId="5" borderId="31" xfId="0" applyFont="1" applyFill="1" applyBorder="1"/>
    <xf numFmtId="0" fontId="4" fillId="8" borderId="31" xfId="0" applyFont="1" applyFill="1" applyBorder="1"/>
    <xf numFmtId="0" fontId="2" fillId="8" borderId="31" xfId="0" applyFont="1" applyFill="1" applyBorder="1"/>
    <xf numFmtId="0" fontId="4" fillId="3" borderId="26" xfId="0" applyFont="1" applyFill="1" applyBorder="1" applyAlignment="1">
      <alignment horizontal="center"/>
    </xf>
    <xf numFmtId="0" fontId="4" fillId="3" borderId="19" xfId="0" applyFont="1" applyFill="1" applyBorder="1"/>
    <xf numFmtId="0" fontId="8" fillId="5" borderId="27" xfId="0" applyFont="1" applyFill="1" applyBorder="1"/>
    <xf numFmtId="0" fontId="12" fillId="8" borderId="1" xfId="0" applyFont="1" applyFill="1" applyBorder="1" applyAlignment="1">
      <alignment horizontal="center" vertical="center"/>
    </xf>
    <xf numFmtId="187" fontId="4" fillId="0" borderId="15" xfId="0" applyNumberFormat="1" applyFont="1" applyBorder="1"/>
    <xf numFmtId="187" fontId="12" fillId="8" borderId="8" xfId="0" applyNumberFormat="1" applyFont="1" applyFill="1" applyBorder="1" applyAlignment="1">
      <alignment horizontal="center"/>
    </xf>
    <xf numFmtId="0" fontId="17" fillId="0" borderId="5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8" fillId="0" borderId="0" xfId="0" applyFont="1" applyAlignment="1">
      <alignment horizontal="right"/>
    </xf>
    <xf numFmtId="0" fontId="10" fillId="0" borderId="10" xfId="0" applyFont="1" applyBorder="1"/>
    <xf numFmtId="0" fontId="4" fillId="0" borderId="36" xfId="0" applyFont="1" applyBorder="1"/>
    <xf numFmtId="0" fontId="4" fillId="0" borderId="21" xfId="0" applyFont="1" applyBorder="1"/>
    <xf numFmtId="0" fontId="4" fillId="0" borderId="37" xfId="0" applyFont="1" applyBorder="1"/>
    <xf numFmtId="0" fontId="10" fillId="2" borderId="24" xfId="0" applyFont="1" applyFill="1" applyBorder="1"/>
    <xf numFmtId="0" fontId="4" fillId="2" borderId="25" xfId="0" applyFont="1" applyFill="1" applyBorder="1"/>
    <xf numFmtId="0" fontId="4" fillId="3" borderId="36" xfId="0" applyFont="1" applyFill="1" applyBorder="1"/>
    <xf numFmtId="2" fontId="10" fillId="3" borderId="13" xfId="0" applyNumberFormat="1" applyFont="1" applyFill="1" applyBorder="1"/>
    <xf numFmtId="0" fontId="10" fillId="2" borderId="9" xfId="0" applyFont="1" applyFill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38" xfId="0" applyFont="1" applyFill="1" applyBorder="1"/>
    <xf numFmtId="0" fontId="10" fillId="2" borderId="27" xfId="0" applyFont="1" applyFill="1" applyBorder="1"/>
    <xf numFmtId="187" fontId="12" fillId="9" borderId="23" xfId="0" applyNumberFormat="1" applyFont="1" applyFill="1" applyBorder="1"/>
    <xf numFmtId="187" fontId="12" fillId="9" borderId="25" xfId="0" applyNumberFormat="1" applyFont="1" applyFill="1" applyBorder="1"/>
    <xf numFmtId="0" fontId="12" fillId="11" borderId="1" xfId="0" applyFont="1" applyFill="1" applyBorder="1" applyAlignment="1">
      <alignment horizontal="left"/>
    </xf>
    <xf numFmtId="0" fontId="12" fillId="11" borderId="11" xfId="0" applyFont="1" applyFill="1" applyBorder="1" applyAlignment="1">
      <alignment horizontal="left"/>
    </xf>
    <xf numFmtId="0" fontId="7" fillId="0" borderId="10" xfId="0" applyFont="1" applyBorder="1"/>
    <xf numFmtId="1" fontId="7" fillId="0" borderId="12" xfId="0" applyNumberFormat="1" applyFont="1" applyBorder="1" applyAlignment="1">
      <alignment horizontal="center"/>
    </xf>
    <xf numFmtId="187" fontId="7" fillId="0" borderId="13" xfId="0" applyNumberFormat="1" applyFont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2F927"/>
      <color rgb="FFFFCCFF"/>
      <color rgb="FFFF00FF"/>
      <color rgb="FFFBFCD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974271</xdr:colOff>
      <xdr:row>5</xdr:row>
      <xdr:rowOff>21027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359607-E698-4FE4-9D25-6C3666DDCF8A}"/>
                </a:ext>
              </a:extLst>
            </xdr:cNvPr>
            <xdr:cNvSpPr txBox="1"/>
          </xdr:nvSpPr>
          <xdr:spPr>
            <a:xfrm>
              <a:off x="8382604" y="1714360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359607-E698-4FE4-9D25-6C3666DDCF8A}"/>
                </a:ext>
              </a:extLst>
            </xdr:cNvPr>
            <xdr:cNvSpPr txBox="1"/>
          </xdr:nvSpPr>
          <xdr:spPr>
            <a:xfrm>
              <a:off x="8382604" y="1714360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996952</xdr:colOff>
      <xdr:row>6</xdr:row>
      <xdr:rowOff>22243</xdr:rowOff>
    </xdr:from>
    <xdr:ext cx="1088569" cy="336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C9428E-A0D0-44D5-AEF4-3E7183C2BAF9}"/>
                </a:ext>
              </a:extLst>
            </xdr:cNvPr>
            <xdr:cNvSpPr txBox="1"/>
          </xdr:nvSpPr>
          <xdr:spPr>
            <a:xfrm>
              <a:off x="8405285" y="205424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C9428E-A0D0-44D5-AEF4-3E7183C2BAF9}"/>
                </a:ext>
              </a:extLst>
            </xdr:cNvPr>
            <xdr:cNvSpPr txBox="1"/>
          </xdr:nvSpPr>
          <xdr:spPr>
            <a:xfrm>
              <a:off x="8405285" y="205424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251335</xdr:colOff>
      <xdr:row>13</xdr:row>
      <xdr:rowOff>81971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A4C7CE-12A5-48CA-9752-ED64EC1F45AA}"/>
                </a:ext>
              </a:extLst>
            </xdr:cNvPr>
            <xdr:cNvSpPr txBox="1"/>
          </xdr:nvSpPr>
          <xdr:spPr>
            <a:xfrm>
              <a:off x="7659668" y="5288971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A4C7CE-12A5-48CA-9752-ED64EC1F45AA}"/>
                </a:ext>
              </a:extLst>
            </xdr:cNvPr>
            <xdr:cNvSpPr txBox="1"/>
          </xdr:nvSpPr>
          <xdr:spPr>
            <a:xfrm>
              <a:off x="7659668" y="5288971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6</xdr:row>
      <xdr:rowOff>232833</xdr:rowOff>
    </xdr:from>
    <xdr:to>
      <xdr:col>10</xdr:col>
      <xdr:colOff>190500</xdr:colOff>
      <xdr:row>10</xdr:row>
      <xdr:rowOff>31750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9409878-9513-42C2-8884-1EC5B78BD13B}"/>
            </a:ext>
          </a:extLst>
        </xdr:cNvPr>
        <xdr:cNvGrpSpPr/>
      </xdr:nvGrpSpPr>
      <xdr:grpSpPr>
        <a:xfrm>
          <a:off x="9189296" y="2290233"/>
          <a:ext cx="5974504" cy="1200997"/>
          <a:chOff x="715617" y="1186070"/>
          <a:chExt cx="2902227" cy="1630016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A50CEC43-C2C6-7113-4B03-5CCF672A3CDD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AAE35DD-C371-7D52-973D-85594FC656A4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ECAA9946-B42B-D724-471E-62500C2622FF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C302A296-B47C-553B-335D-BF7F5B9CCDD2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5</xdr:row>
      <xdr:rowOff>296334</xdr:rowOff>
    </xdr:from>
    <xdr:to>
      <xdr:col>11</xdr:col>
      <xdr:colOff>0</xdr:colOff>
      <xdr:row>6</xdr:row>
      <xdr:rowOff>181428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D9EEED6-2C7A-49B7-A2E1-2398BC46F803}"/>
            </a:ext>
          </a:extLst>
        </xdr:cNvPr>
        <xdr:cNvSpPr txBox="1"/>
      </xdr:nvSpPr>
      <xdr:spPr>
        <a:xfrm>
          <a:off x="13760451" y="2588684"/>
          <a:ext cx="389466" cy="227994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8</xdr:row>
      <xdr:rowOff>43544</xdr:rowOff>
    </xdr:from>
    <xdr:to>
      <xdr:col>7</xdr:col>
      <xdr:colOff>402771</xdr:colOff>
      <xdr:row>8</xdr:row>
      <xdr:rowOff>304802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C8387E-90E0-487C-A6F5-D486FFD57C8C}"/>
            </a:ext>
          </a:extLst>
        </xdr:cNvPr>
        <xdr:cNvSpPr txBox="1"/>
      </xdr:nvSpPr>
      <xdr:spPr>
        <a:xfrm>
          <a:off x="10692493" y="3364594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10</xdr:row>
      <xdr:rowOff>32657</xdr:rowOff>
    </xdr:from>
    <xdr:to>
      <xdr:col>7</xdr:col>
      <xdr:colOff>381000</xdr:colOff>
      <xdr:row>10</xdr:row>
      <xdr:rowOff>293915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5CE916-78A9-4EAB-9A44-24C679254BA9}"/>
            </a:ext>
          </a:extLst>
        </xdr:cNvPr>
        <xdr:cNvSpPr txBox="1"/>
      </xdr:nvSpPr>
      <xdr:spPr>
        <a:xfrm>
          <a:off x="10670722" y="411570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1618339</xdr:colOff>
      <xdr:row>3</xdr:row>
      <xdr:rowOff>254964</xdr:rowOff>
    </xdr:from>
    <xdr:to>
      <xdr:col>3</xdr:col>
      <xdr:colOff>886504</xdr:colOff>
      <xdr:row>9</xdr:row>
      <xdr:rowOff>272144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4E13641-2CD3-4093-8EE5-5534FF5277B5}"/>
            </a:ext>
          </a:extLst>
        </xdr:cNvPr>
        <xdr:cNvGrpSpPr/>
      </xdr:nvGrpSpPr>
      <xdr:grpSpPr>
        <a:xfrm>
          <a:off x="1938379" y="1283664"/>
          <a:ext cx="3375345" cy="2105060"/>
          <a:chOff x="5620837" y="717743"/>
          <a:chExt cx="2907542" cy="2103801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7C6CAF28-77A0-326A-2317-77C9D23DC74C}"/>
              </a:ext>
            </a:extLst>
          </xdr:cNvPr>
          <xdr:cNvGrpSpPr/>
        </xdr:nvGrpSpPr>
        <xdr:grpSpPr>
          <a:xfrm>
            <a:off x="5720051" y="717743"/>
            <a:ext cx="2808328" cy="2103801"/>
            <a:chOff x="5720051" y="717743"/>
            <a:chExt cx="2808328" cy="2103801"/>
          </a:xfrm>
        </xdr:grpSpPr>
        <xdr:sp macro="" textlink="">
          <xdr:nvSpPr>
            <xdr:cNvPr id="16" name="Right Triangle 15">
              <a:extLst>
                <a:ext uri="{FF2B5EF4-FFF2-40B4-BE49-F238E27FC236}">
                  <a16:creationId xmlns:a16="http://schemas.microsoft.com/office/drawing/2014/main" id="{66CB7F96-24E9-E563-E337-3F32862F6EDE}"/>
                </a:ext>
              </a:extLst>
            </xdr:cNvPr>
            <xdr:cNvSpPr/>
          </xdr:nvSpPr>
          <xdr:spPr>
            <a:xfrm flipH="1">
              <a:off x="5720051" y="717743"/>
              <a:ext cx="2050969" cy="1439029"/>
            </a:xfrm>
            <a:prstGeom prst="rt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781C26B1-DDBD-158B-3A22-2F15F62763DF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oMath>
                    </m:oMathPara>
                  </a14:m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781C26B1-DDBD-158B-3A22-2F15F62763DF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𝑎</a:t>
                  </a:r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EF4E5A91-938C-BD51-3C45-B5270329896F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𝑏</m:t>
                        </m:r>
                      </m:oMath>
                    </m:oMathPara>
                  </a14:m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EF4E5A91-938C-BD51-3C45-B5270329896F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𝑏</a:t>
                  </a:r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3B5CEB1E-4CF3-164B-DD06-0F9C041521E2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= </m:t>
                      </m:r>
                      <m:r>
                        <a:rPr lang="th-TH" sz="2400" b="0" i="0">
                          <a:latin typeface="Cambria Math" panose="02040503050406030204" pitchFamily="18" charset="0"/>
                        </a:rPr>
                        <m:t>?</m:t>
                      </m:r>
                    </m:oMath>
                  </m:oMathPara>
                </a14:m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3B5CEB1E-4CF3-164B-DD06-0F9C041521E2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0" i="0">
                    <a:latin typeface="Cambria Math" panose="02040503050406030204" pitchFamily="18" charset="0"/>
                  </a:rPr>
                  <a:t>𝑐= </a:t>
                </a:r>
                <a:r>
                  <a:rPr lang="th-TH" sz="2400" b="0" i="0">
                    <a:latin typeface="Cambria Math" panose="02040503050406030204" pitchFamily="18" charset="0"/>
                  </a:rPr>
                  <a:t>?</a:t>
                </a:r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</xdr:grpSp>
    <xdr:clientData/>
  </xdr:twoCellAnchor>
  <xdr:twoCellAnchor>
    <xdr:from>
      <xdr:col>1</xdr:col>
      <xdr:colOff>195944</xdr:colOff>
      <xdr:row>12</xdr:row>
      <xdr:rowOff>0</xdr:rowOff>
    </xdr:from>
    <xdr:to>
      <xdr:col>2</xdr:col>
      <xdr:colOff>130630</xdr:colOff>
      <xdr:row>13</xdr:row>
      <xdr:rowOff>183108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4FDC10-C6C8-4444-81DD-F6C61B0BBEC5}"/>
                </a:ext>
              </a:extLst>
            </xdr:cNvPr>
            <xdr:cNvSpPr txBox="1"/>
          </xdr:nvSpPr>
          <xdr:spPr>
            <a:xfrm>
              <a:off x="513444" y="408305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4FDC10-C6C8-4444-81DD-F6C61B0BBEC5}"/>
                </a:ext>
              </a:extLst>
            </xdr:cNvPr>
            <xdr:cNvSpPr txBox="1"/>
          </xdr:nvSpPr>
          <xdr:spPr>
            <a:xfrm>
              <a:off x="513444" y="408305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𝑎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13</xdr:row>
      <xdr:rowOff>10887</xdr:rowOff>
    </xdr:from>
    <xdr:to>
      <xdr:col>2</xdr:col>
      <xdr:colOff>10888</xdr:colOff>
      <xdr:row>14</xdr:row>
      <xdr:rowOff>10886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5D69611-B3F1-41FC-AA90-E24F63AEEED2}"/>
                </a:ext>
              </a:extLst>
            </xdr:cNvPr>
            <xdr:cNvSpPr txBox="1"/>
          </xdr:nvSpPr>
          <xdr:spPr>
            <a:xfrm>
              <a:off x="393702" y="4436837"/>
              <a:ext cx="269058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5D69611-B3F1-41FC-AA90-E24F63AEEED2}"/>
                </a:ext>
              </a:extLst>
            </xdr:cNvPr>
            <xdr:cNvSpPr txBox="1"/>
          </xdr:nvSpPr>
          <xdr:spPr>
            <a:xfrm>
              <a:off x="393702" y="4436837"/>
              <a:ext cx="269058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𝑏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14</xdr:row>
      <xdr:rowOff>21775</xdr:rowOff>
    </xdr:from>
    <xdr:to>
      <xdr:col>2</xdr:col>
      <xdr:colOff>97973</xdr:colOff>
      <xdr:row>15</xdr:row>
      <xdr:rowOff>76202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5736CEB-FE42-4F08-A6A0-075B8ADC1136}"/>
                </a:ext>
              </a:extLst>
            </xdr:cNvPr>
            <xdr:cNvSpPr txBox="1"/>
          </xdr:nvSpPr>
          <xdr:spPr>
            <a:xfrm>
              <a:off x="1123046" y="47906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5736CEB-FE42-4F08-A6A0-075B8ADC1136}"/>
                </a:ext>
              </a:extLst>
            </xdr:cNvPr>
            <xdr:cNvSpPr txBox="1"/>
          </xdr:nvSpPr>
          <xdr:spPr>
            <a:xfrm>
              <a:off x="1123046" y="47906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</a:t>
              </a:r>
              <a:r>
                <a:rPr lang="th-TH" sz="1400" b="0" i="0">
                  <a:latin typeface="Cambria Math" panose="02040503050406030204" pitchFamily="18" charset="0"/>
                </a:rPr>
                <a:t>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8</xdr:row>
      <xdr:rowOff>317501</xdr:rowOff>
    </xdr:from>
    <xdr:to>
      <xdr:col>7</xdr:col>
      <xdr:colOff>154213</xdr:colOff>
      <xdr:row>10</xdr:row>
      <xdr:rowOff>45359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AFEB67F-6EC6-48A7-9103-9B0D8CB098B1}"/>
            </a:ext>
          </a:extLst>
        </xdr:cNvPr>
        <xdr:cNvGrpSpPr/>
      </xdr:nvGrpSpPr>
      <xdr:grpSpPr>
        <a:xfrm>
          <a:off x="9411546" y="3091181"/>
          <a:ext cx="1997407" cy="413658"/>
          <a:chOff x="715617" y="1822174"/>
          <a:chExt cx="1543880" cy="337930"/>
        </a:xfrm>
      </xdr:grpSpPr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7A04F6EF-3E14-55B3-8C18-6FA53E6550D5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2044B2B5-30A7-29D4-E9D0-01DAED1F802F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6C3125D0-AE87-3B38-E9B5-D167DD12D2CA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10</xdr:row>
      <xdr:rowOff>290284</xdr:rowOff>
    </xdr:from>
    <xdr:to>
      <xdr:col>7</xdr:col>
      <xdr:colOff>154214</xdr:colOff>
      <xdr:row>13</xdr:row>
      <xdr:rowOff>90713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76E2344-2879-4E02-A5C0-0D1D49D8AE91}"/>
            </a:ext>
          </a:extLst>
        </xdr:cNvPr>
        <xdr:cNvGrpSpPr/>
      </xdr:nvGrpSpPr>
      <xdr:grpSpPr>
        <a:xfrm>
          <a:off x="8165737" y="3749764"/>
          <a:ext cx="3243217" cy="920569"/>
          <a:chOff x="702365" y="3074504"/>
          <a:chExt cx="1543880" cy="344557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89BF2E1D-E842-691F-A1B9-ACA44108CFBB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6ACE1321-536D-2E26-129C-1176F3A0F6E6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5FFA6CAC-C653-A114-2DA7-E0657F492077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5</xdr:row>
      <xdr:rowOff>172657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B060EE1-E130-4E44-B01E-FC2FDB454780}"/>
                </a:ext>
              </a:extLst>
            </xdr:cNvPr>
            <xdr:cNvSpPr txBox="1"/>
          </xdr:nvSpPr>
          <xdr:spPr>
            <a:xfrm>
              <a:off x="1180858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B060EE1-E130-4E44-B01E-FC2FDB454780}"/>
                </a:ext>
              </a:extLst>
            </xdr:cNvPr>
            <xdr:cNvSpPr txBox="1"/>
          </xdr:nvSpPr>
          <xdr:spPr>
            <a:xfrm>
              <a:off x="1180858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8</xdr:row>
      <xdr:rowOff>65314</xdr:rowOff>
    </xdr:from>
    <xdr:ext cx="2107292" cy="2945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DE42B1D-6B01-47CB-B0CC-94E80968D1DA}"/>
                </a:ext>
              </a:extLst>
            </xdr:cNvPr>
            <xdr:cNvSpPr txBox="1"/>
          </xdr:nvSpPr>
          <xdr:spPr>
            <a:xfrm>
              <a:off x="7618791" y="3346147"/>
              <a:ext cx="2107292" cy="294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∗(−0.708)]=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DE42B1D-6B01-47CB-B0CC-94E80968D1DA}"/>
                </a:ext>
              </a:extLst>
            </xdr:cNvPr>
            <xdr:cNvSpPr txBox="1"/>
          </xdr:nvSpPr>
          <xdr:spPr>
            <a:xfrm>
              <a:off x="7618791" y="3346147"/>
              <a:ext cx="2107292" cy="294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−0.708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6</xdr:row>
      <xdr:rowOff>0</xdr:rowOff>
    </xdr:from>
    <xdr:to>
      <xdr:col>8</xdr:col>
      <xdr:colOff>666750</xdr:colOff>
      <xdr:row>6</xdr:row>
      <xdr:rowOff>6048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497854E-F68D-404E-870E-56880C569C6D}"/>
            </a:ext>
          </a:extLst>
        </xdr:cNvPr>
        <xdr:cNvCxnSpPr/>
      </xdr:nvCxnSpPr>
      <xdr:spPr>
        <a:xfrm flipV="1">
          <a:off x="10676165" y="2635250"/>
          <a:ext cx="1033235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98D55CE-B4BD-421E-AE85-E3C9AEBA5947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98D55CE-B4BD-421E-AE85-E3C9AEBA5947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 editAs="oneCell">
    <xdr:from>
      <xdr:col>11</xdr:col>
      <xdr:colOff>391583</xdr:colOff>
      <xdr:row>15</xdr:row>
      <xdr:rowOff>149625</xdr:rowOff>
    </xdr:from>
    <xdr:to>
      <xdr:col>20</xdr:col>
      <xdr:colOff>974144</xdr:colOff>
      <xdr:row>32</xdr:row>
      <xdr:rowOff>296947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3FCFF6F-6BD3-40E6-B51A-C110F512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3166" y="5367208"/>
          <a:ext cx="10033478" cy="6359738"/>
        </a:xfrm>
        <a:prstGeom prst="rect">
          <a:avLst/>
        </a:prstGeom>
      </xdr:spPr>
    </xdr:pic>
    <xdr:clientData/>
  </xdr:twoCellAnchor>
  <xdr:oneCellAnchor>
    <xdr:from>
      <xdr:col>4</xdr:col>
      <xdr:colOff>57920</xdr:colOff>
      <xdr:row>13</xdr:row>
      <xdr:rowOff>1</xdr:rowOff>
    </xdr:from>
    <xdr:ext cx="928255" cy="49876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2E88A9C-68FD-4984-AA32-1A71020924F4}"/>
            </a:ext>
          </a:extLst>
        </xdr:cNvPr>
        <xdr:cNvSpPr txBox="1"/>
      </xdr:nvSpPr>
      <xdr:spPr>
        <a:xfrm>
          <a:off x="7106420" y="5207001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1442353</xdr:colOff>
      <xdr:row>12</xdr:row>
      <xdr:rowOff>273298</xdr:rowOff>
    </xdr:from>
    <xdr:ext cx="748146" cy="484909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469117D-E2DB-41E1-BABE-3044CE16F818}"/>
            </a:ext>
          </a:extLst>
        </xdr:cNvPr>
        <xdr:cNvSpPr txBox="1"/>
      </xdr:nvSpPr>
      <xdr:spPr>
        <a:xfrm>
          <a:off x="8850686" y="5131048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40C2D3D-65D0-4790-87B7-E0CE6B53D402}"/>
                </a:ext>
              </a:extLst>
            </xdr:cNvPr>
            <xdr:cNvSpPr txBox="1"/>
          </xdr:nvSpPr>
          <xdr:spPr>
            <a:xfrm>
              <a:off x="7072993" y="263071"/>
              <a:ext cx="86684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40C2D3D-65D0-4790-87B7-E0CE6B53D402}"/>
                </a:ext>
              </a:extLst>
            </xdr:cNvPr>
            <xdr:cNvSpPr txBox="1"/>
          </xdr:nvSpPr>
          <xdr:spPr>
            <a:xfrm>
              <a:off x="7072993" y="263071"/>
              <a:ext cx="86684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1065892</xdr:colOff>
      <xdr:row>6</xdr:row>
      <xdr:rowOff>83154</xdr:rowOff>
    </xdr:from>
    <xdr:to>
      <xdr:col>3</xdr:col>
      <xdr:colOff>375251</xdr:colOff>
      <xdr:row>7</xdr:row>
      <xdr:rowOff>297915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B52371F-6F93-444C-A32C-321677DE8BD5}"/>
            </a:ext>
          </a:extLst>
        </xdr:cNvPr>
        <xdr:cNvSpPr txBox="1"/>
      </xdr:nvSpPr>
      <xdr:spPr>
        <a:xfrm>
          <a:off x="4139292" y="2140554"/>
          <a:ext cx="655559" cy="44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3600" b="1">
              <a:latin typeface="TH Sarabun New" panose="020B0500040200020003" pitchFamily="34" charset="-34"/>
              <a:cs typeface="TH Sarabun New" panose="020B0500040200020003" pitchFamily="34" charset="-34"/>
            </a:rPr>
            <a:t>A</a:t>
          </a:r>
          <a:endParaRPr lang="th-TH" sz="3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11</xdr:col>
      <xdr:colOff>0</xdr:colOff>
      <xdr:row>5</xdr:row>
      <xdr:rowOff>296334</xdr:rowOff>
    </xdr:from>
    <xdr:to>
      <xdr:col>11</xdr:col>
      <xdr:colOff>21167</xdr:colOff>
      <xdr:row>6</xdr:row>
      <xdr:rowOff>181428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DD8C528-B331-44C8-8DAA-57A0C23F3D87}"/>
            </a:ext>
          </a:extLst>
        </xdr:cNvPr>
        <xdr:cNvSpPr txBox="1"/>
      </xdr:nvSpPr>
      <xdr:spPr>
        <a:xfrm>
          <a:off x="13751984" y="1989667"/>
          <a:ext cx="387350" cy="223761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oneCellAnchor>
    <xdr:from>
      <xdr:col>11</xdr:col>
      <xdr:colOff>994834</xdr:colOff>
      <xdr:row>6</xdr:row>
      <xdr:rowOff>22243</xdr:rowOff>
    </xdr:from>
    <xdr:ext cx="1947333" cy="3587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D38DA89-7D9B-48D3-B6F0-AFE1B2ED12C7}"/>
                </a:ext>
              </a:extLst>
            </xdr:cNvPr>
            <xdr:cNvSpPr txBox="1"/>
          </xdr:nvSpPr>
          <xdr:spPr>
            <a:xfrm>
              <a:off x="15113001" y="2054243"/>
              <a:ext cx="1947333" cy="35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(</m:t>
                      </m:r>
                      <m:rad>
                        <m:radPr>
                          <m:degHide m:val="on"/>
                          <m:ctrlPr>
                            <a:rPr lang="en-US" sz="18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8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p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2  </m:t>
                      </m:r>
                    </m:sup>
                  </m:sSup>
                </m:oMath>
              </a14:m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endParaRPr lang="th-TH" sz="1800">
                <a:effectLst/>
              </a:endParaRPr>
            </a:p>
            <a:p>
              <a:pPr algn="r"/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= 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D38DA89-7D9B-48D3-B6F0-AFE1B2ED12C7}"/>
                </a:ext>
              </a:extLst>
            </xdr:cNvPr>
            <xdr:cNvSpPr txBox="1"/>
          </xdr:nvSpPr>
          <xdr:spPr>
            <a:xfrm>
              <a:off x="15113001" y="2054243"/>
              <a:ext cx="1947333" cy="35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(√2∗𝑏)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𝑦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 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endParaRPr lang="th-TH" sz="1800">
                <a:effectLst/>
              </a:endParaRPr>
            </a:p>
            <a:p>
              <a:pPr algn="r"/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= 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12</xdr:col>
      <xdr:colOff>762604</xdr:colOff>
      <xdr:row>4</xdr:row>
      <xdr:rowOff>327944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30912C8D-3CB3-4DAA-958E-1270A60A63BA}"/>
                </a:ext>
              </a:extLst>
            </xdr:cNvPr>
            <xdr:cNvSpPr txBox="1"/>
          </xdr:nvSpPr>
          <xdr:spPr>
            <a:xfrm>
              <a:off x="15981437" y="1682611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 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30912C8D-3CB3-4DAA-958E-1270A60A63BA}"/>
                </a:ext>
              </a:extLst>
            </xdr:cNvPr>
            <xdr:cNvSpPr txBox="1"/>
          </xdr:nvSpPr>
          <xdr:spPr>
            <a:xfrm>
              <a:off x="15981437" y="1682611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 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11</xdr:col>
      <xdr:colOff>1002751</xdr:colOff>
      <xdr:row>13</xdr:row>
      <xdr:rowOff>103138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2D85D06-61C6-424B-8853-E06C11659E35}"/>
                </a:ext>
              </a:extLst>
            </xdr:cNvPr>
            <xdr:cNvSpPr txBox="1"/>
          </xdr:nvSpPr>
          <xdr:spPr>
            <a:xfrm>
              <a:off x="15120918" y="4632805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2D85D06-61C6-424B-8853-E06C11659E35}"/>
                </a:ext>
              </a:extLst>
            </xdr:cNvPr>
            <xdr:cNvSpPr txBox="1"/>
          </xdr:nvSpPr>
          <xdr:spPr>
            <a:xfrm>
              <a:off x="15120918" y="4632805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12</xdr:col>
      <xdr:colOff>783167</xdr:colOff>
      <xdr:row>6</xdr:row>
      <xdr:rowOff>232833</xdr:rowOff>
    </xdr:from>
    <xdr:to>
      <xdr:col>17</xdr:col>
      <xdr:colOff>254000</xdr:colOff>
      <xdr:row>10</xdr:row>
      <xdr:rowOff>63500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98764BBD-FB43-4CC9-B61E-1788176E6FFB}"/>
            </a:ext>
          </a:extLst>
        </xdr:cNvPr>
        <xdr:cNvGrpSpPr/>
      </xdr:nvGrpSpPr>
      <xdr:grpSpPr>
        <a:xfrm>
          <a:off x="17257607" y="2290233"/>
          <a:ext cx="5955453" cy="1232747"/>
          <a:chOff x="715617" y="1186070"/>
          <a:chExt cx="2902227" cy="1630016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C5D3E399-09F8-9C0A-7890-5894009FB568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>
            <a:solidFill>
              <a:srgbClr val="FF00FF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BEE42316-5DBA-C1EB-B819-6AD32853C26E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>
            <a:solidFill>
              <a:srgbClr val="FF00FF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8" name="Straight Arrow Connector 97">
            <a:extLst>
              <a:ext uri="{FF2B5EF4-FFF2-40B4-BE49-F238E27FC236}">
                <a16:creationId xmlns:a16="http://schemas.microsoft.com/office/drawing/2014/main" id="{3419C364-CDC8-E71B-8991-2EE4AB47686E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>
            <a:solidFill>
              <a:srgbClr val="FF00FF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80218DC9-BD6B-783E-11B3-F8FFA0278EC9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>
            <a:solidFill>
              <a:srgbClr val="FF00FF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25401</xdr:colOff>
      <xdr:row>5</xdr:row>
      <xdr:rowOff>296334</xdr:rowOff>
    </xdr:from>
    <xdr:to>
      <xdr:col>18</xdr:col>
      <xdr:colOff>0</xdr:colOff>
      <xdr:row>6</xdr:row>
      <xdr:rowOff>181428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E8EE6D8-6977-4A31-B425-D144859B496F}"/>
            </a:ext>
          </a:extLst>
        </xdr:cNvPr>
        <xdr:cNvSpPr txBox="1"/>
      </xdr:nvSpPr>
      <xdr:spPr>
        <a:xfrm>
          <a:off x="13751984" y="1989667"/>
          <a:ext cx="366183" cy="223761"/>
        </a:xfrm>
        <a:prstGeom prst="rect">
          <a:avLst/>
        </a:prstGeom>
        <a:ln w="28575">
          <a:solidFill>
            <a:srgbClr val="FF00FF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14</xdr:col>
      <xdr:colOff>43543</xdr:colOff>
      <xdr:row>8</xdr:row>
      <xdr:rowOff>43544</xdr:rowOff>
    </xdr:from>
    <xdr:to>
      <xdr:col>14</xdr:col>
      <xdr:colOff>402771</xdr:colOff>
      <xdr:row>8</xdr:row>
      <xdr:rowOff>304802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C702E42-3ADF-4C87-BCC1-2B00387E697B}"/>
            </a:ext>
          </a:extLst>
        </xdr:cNvPr>
        <xdr:cNvSpPr txBox="1"/>
      </xdr:nvSpPr>
      <xdr:spPr>
        <a:xfrm>
          <a:off x="10690376" y="2784627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14</xdr:col>
      <xdr:colOff>21772</xdr:colOff>
      <xdr:row>10</xdr:row>
      <xdr:rowOff>32657</xdr:rowOff>
    </xdr:from>
    <xdr:to>
      <xdr:col>14</xdr:col>
      <xdr:colOff>381000</xdr:colOff>
      <xdr:row>10</xdr:row>
      <xdr:rowOff>293915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32EB36A-545E-40AF-A5A1-75CAEA41B3F2}"/>
            </a:ext>
          </a:extLst>
        </xdr:cNvPr>
        <xdr:cNvSpPr txBox="1"/>
      </xdr:nvSpPr>
      <xdr:spPr>
        <a:xfrm>
          <a:off x="10668605" y="3451074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12</xdr:col>
      <xdr:colOff>1037167</xdr:colOff>
      <xdr:row>8</xdr:row>
      <xdr:rowOff>317501</xdr:rowOff>
    </xdr:from>
    <xdr:to>
      <xdr:col>14</xdr:col>
      <xdr:colOff>154213</xdr:colOff>
      <xdr:row>10</xdr:row>
      <xdr:rowOff>105833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30F457A8-6FAA-4B6F-AE9B-3E3ADDB7B093}"/>
            </a:ext>
          </a:extLst>
        </xdr:cNvPr>
        <xdr:cNvGrpSpPr/>
      </xdr:nvGrpSpPr>
      <xdr:grpSpPr>
        <a:xfrm>
          <a:off x="17511607" y="3091181"/>
          <a:ext cx="2126946" cy="474132"/>
          <a:chOff x="715617" y="1822174"/>
          <a:chExt cx="1543880" cy="337930"/>
        </a:xfrm>
      </xdr:grpSpPr>
      <xdr:cxnSp macro="">
        <xdr:nvCxnSpPr>
          <xdr:cNvPr id="104" name="Straight Arrow Connector 103">
            <a:extLst>
              <a:ext uri="{FF2B5EF4-FFF2-40B4-BE49-F238E27FC236}">
                <a16:creationId xmlns:a16="http://schemas.microsoft.com/office/drawing/2014/main" id="{070E4CFD-E2CC-8E1D-7321-DDB9C9A596DD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6BF17DDE-3358-2691-16B3-CB130E5DF490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7F01AB83-CD31-2CF7-1D8A-66498CF0CFFC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743857</xdr:colOff>
      <xdr:row>10</xdr:row>
      <xdr:rowOff>290284</xdr:rowOff>
    </xdr:from>
    <xdr:to>
      <xdr:col>14</xdr:col>
      <xdr:colOff>154214</xdr:colOff>
      <xdr:row>13</xdr:row>
      <xdr:rowOff>90713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A06C109B-E5DB-400F-8D3F-CB3C510F1B2B}"/>
            </a:ext>
          </a:extLst>
        </xdr:cNvPr>
        <xdr:cNvGrpSpPr/>
      </xdr:nvGrpSpPr>
      <xdr:grpSpPr>
        <a:xfrm>
          <a:off x="17218297" y="3749764"/>
          <a:ext cx="2420257" cy="920569"/>
          <a:chOff x="702365" y="3074504"/>
          <a:chExt cx="1543880" cy="344557"/>
        </a:xfrm>
      </xdr:grpSpPr>
      <xdr:cxnSp macro="">
        <xdr:nvCxnSpPr>
          <xdr:cNvPr id="108" name="Straight Arrow Connector 107">
            <a:extLst>
              <a:ext uri="{FF2B5EF4-FFF2-40B4-BE49-F238E27FC236}">
                <a16:creationId xmlns:a16="http://schemas.microsoft.com/office/drawing/2014/main" id="{EC5155F7-B00B-9488-7D95-9FE2469CB2FA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1B293EF7-DB60-E213-556C-740CCBC2C417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7B99A0F8-E87F-17CE-60B9-2ECF5970C3A0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506790</xdr:colOff>
      <xdr:row>8</xdr:row>
      <xdr:rowOff>1814</xdr:rowOff>
    </xdr:from>
    <xdr:ext cx="2879877" cy="4109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518BF06A-D8C1-4539-A92B-088C4F8FA577}"/>
                </a:ext>
              </a:extLst>
            </xdr:cNvPr>
            <xdr:cNvSpPr txBox="1"/>
          </xdr:nvSpPr>
          <xdr:spPr>
            <a:xfrm>
              <a:off x="14868373" y="2742897"/>
              <a:ext cx="2879877" cy="410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ad>
                      <m:radPr>
                        <m:degHide m:val="on"/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e>
                    </m:rad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∗(−0.708)]=</m:t>
                    </m:r>
                  </m:oMath>
                </m:oMathPara>
              </a14:m>
              <a:endParaRPr lang="th-TH" sz="16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518BF06A-D8C1-4539-A92B-088C4F8FA577}"/>
                </a:ext>
              </a:extLst>
            </xdr:cNvPr>
            <xdr:cNvSpPr txBox="1"/>
          </xdr:nvSpPr>
          <xdr:spPr>
            <a:xfrm>
              <a:off x="14868373" y="2742897"/>
              <a:ext cx="2879877" cy="410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√2∗</a:t>
              </a:r>
              <a:r>
                <a:rPr lang="en-US" sz="1600" b="0" i="0">
                  <a:latin typeface="Cambria Math" panose="02040503050406030204" pitchFamily="18" charset="0"/>
                </a:rPr>
                <a:t>𝑏∗(−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0.708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)]=</a:t>
              </a:r>
              <a:endParaRPr lang="th-TH" sz="16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14</xdr:col>
      <xdr:colOff>27215</xdr:colOff>
      <xdr:row>6</xdr:row>
      <xdr:rowOff>0</xdr:rowOff>
    </xdr:from>
    <xdr:to>
      <xdr:col>14</xdr:col>
      <xdr:colOff>941917</xdr:colOff>
      <xdr:row>6</xdr:row>
      <xdr:rowOff>6048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74DD93F1-2522-493D-BC36-0E5CF731656D}"/>
            </a:ext>
          </a:extLst>
        </xdr:cNvPr>
        <xdr:cNvCxnSpPr/>
      </xdr:nvCxnSpPr>
      <xdr:spPr>
        <a:xfrm flipV="1">
          <a:off x="17659048" y="2032000"/>
          <a:ext cx="914702" cy="6048"/>
        </a:xfrm>
        <a:prstGeom prst="straightConnector1">
          <a:avLst/>
        </a:prstGeom>
        <a:ln>
          <a:solidFill>
            <a:srgbClr val="FF00FF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777586</xdr:colOff>
      <xdr:row>13</xdr:row>
      <xdr:rowOff>10585</xdr:rowOff>
    </xdr:from>
    <xdr:ext cx="928255" cy="498763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1AFF5EC-94FE-4754-A25A-A1AE986C9029}"/>
            </a:ext>
          </a:extLst>
        </xdr:cNvPr>
        <xdr:cNvSpPr txBox="1"/>
      </xdr:nvSpPr>
      <xdr:spPr>
        <a:xfrm>
          <a:off x="14895753" y="4540252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12</xdr:col>
      <xdr:colOff>1076170</xdr:colOff>
      <xdr:row>12</xdr:row>
      <xdr:rowOff>305048</xdr:rowOff>
    </xdr:from>
    <xdr:ext cx="748146" cy="484909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CDD981C-B26B-46E5-856F-22CB86CBE530}"/>
            </a:ext>
          </a:extLst>
        </xdr:cNvPr>
        <xdr:cNvSpPr txBox="1"/>
      </xdr:nvSpPr>
      <xdr:spPr>
        <a:xfrm>
          <a:off x="16295003" y="4485465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14</xdr:col>
      <xdr:colOff>1121833</xdr:colOff>
      <xdr:row>5</xdr:row>
      <xdr:rowOff>127000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7B4AA950-6E54-482F-923B-93940733BC96}"/>
                </a:ext>
              </a:extLst>
            </xdr:cNvPr>
            <xdr:cNvSpPr txBox="1"/>
          </xdr:nvSpPr>
          <xdr:spPr>
            <a:xfrm>
              <a:off x="18753666" y="1820333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7B4AA950-6E54-482F-923B-93940733BC96}"/>
                </a:ext>
              </a:extLst>
            </xdr:cNvPr>
            <xdr:cNvSpPr txBox="1"/>
          </xdr:nvSpPr>
          <xdr:spPr>
            <a:xfrm>
              <a:off x="18753666" y="1820333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FAA6-F778-413D-8E7C-86B173B48416}">
  <sheetPr>
    <tabColor rgb="FF92D050"/>
  </sheetPr>
  <dimension ref="A1:Y44"/>
  <sheetViews>
    <sheetView tabSelected="1" zoomScale="40" zoomScaleNormal="40" workbookViewId="0">
      <selection activeCell="I17" sqref="I17"/>
    </sheetView>
  </sheetViews>
  <sheetFormatPr defaultColWidth="8.796875" defaultRowHeight="27" x14ac:dyDescent="0.75"/>
  <cols>
    <col min="1" max="1" width="4.19921875" style="14" customWidth="1"/>
    <col min="2" max="2" width="36.19921875" style="4" customWidth="1"/>
    <col min="3" max="3" width="17.69921875" style="4" customWidth="1"/>
    <col min="4" max="4" width="34.59765625" style="4" customWidth="1"/>
    <col min="5" max="5" width="4.69921875" style="4" customWidth="1"/>
    <col min="6" max="6" width="38.69921875" style="14" customWidth="1"/>
    <col min="7" max="7" width="11.59765625" style="4" customWidth="1"/>
    <col min="8" max="8" width="5.19921875" style="4" customWidth="1"/>
    <col min="9" max="9" width="31.8984375" style="14" bestFit="1" customWidth="1"/>
    <col min="10" max="10" width="11.69921875" style="4" customWidth="1"/>
    <col min="11" max="11" width="5.19921875" style="4" customWidth="1"/>
    <col min="12" max="12" width="14.5" style="4" customWidth="1"/>
    <col min="13" max="13" width="26.296875" style="1" customWidth="1"/>
    <col min="14" max="14" width="13.19921875" style="1" customWidth="1"/>
    <col min="15" max="15" width="25.59765625" style="1" customWidth="1"/>
    <col min="16" max="16" width="8.796875" style="1"/>
    <col min="17" max="17" width="11.19921875" style="1" customWidth="1"/>
    <col min="18" max="18" width="6.5" style="1" customWidth="1"/>
    <col min="19" max="20" width="8.796875" style="1"/>
    <col min="21" max="21" width="17.19921875" style="1" customWidth="1"/>
    <col min="22" max="22" width="17.796875" style="1" customWidth="1"/>
    <col min="23" max="16384" width="8.796875" style="1"/>
  </cols>
  <sheetData>
    <row r="1" spans="2:18" s="4" customFormat="1" x14ac:dyDescent="0.75">
      <c r="B1" s="16"/>
    </row>
    <row r="2" spans="2:18" s="4" customFormat="1" x14ac:dyDescent="0.75">
      <c r="B2" s="16"/>
    </row>
    <row r="3" spans="2:18" s="4" customFormat="1" x14ac:dyDescent="0.75">
      <c r="B3" s="16"/>
    </row>
    <row r="4" spans="2:18" s="4" customFormat="1" x14ac:dyDescent="0.75">
      <c r="B4" s="16"/>
    </row>
    <row r="5" spans="2:18" s="4" customFormat="1" x14ac:dyDescent="0.75">
      <c r="B5" s="16"/>
    </row>
    <row r="6" spans="2:18" s="4" customFormat="1" x14ac:dyDescent="0.75">
      <c r="B6" s="16"/>
      <c r="F6" s="14"/>
      <c r="G6" s="28">
        <f>C13*C13</f>
        <v>2.25</v>
      </c>
      <c r="H6" s="107"/>
      <c r="J6" s="108">
        <f>G6+G7</f>
        <v>3.69</v>
      </c>
      <c r="K6" s="17"/>
      <c r="M6" s="14"/>
      <c r="N6" s="28">
        <f>G6</f>
        <v>2.25</v>
      </c>
      <c r="O6" s="107"/>
      <c r="Q6" s="108">
        <f>N6+N7</f>
        <v>5.13</v>
      </c>
      <c r="R6" s="17"/>
    </row>
    <row r="7" spans="2:18" s="4" customFormat="1" ht="29.55" customHeight="1" x14ac:dyDescent="0.75">
      <c r="B7" s="16"/>
      <c r="F7" s="14"/>
      <c r="G7" s="28">
        <f>C14*C14</f>
        <v>1.44</v>
      </c>
      <c r="H7" s="107"/>
      <c r="I7" s="17"/>
      <c r="J7" s="108"/>
      <c r="K7" s="17"/>
      <c r="M7" s="14"/>
      <c r="N7" s="28">
        <f>2*G7</f>
        <v>2.88</v>
      </c>
      <c r="O7" s="107"/>
      <c r="P7" s="17"/>
      <c r="Q7" s="108"/>
      <c r="R7" s="17"/>
    </row>
    <row r="8" spans="2:18" s="4" customFormat="1" x14ac:dyDescent="0.75">
      <c r="E8" s="30"/>
      <c r="F8" s="14"/>
      <c r="G8" s="18"/>
      <c r="H8" s="18"/>
      <c r="I8" s="18"/>
      <c r="J8" s="30"/>
      <c r="L8" s="30"/>
      <c r="M8" s="14"/>
      <c r="N8" s="18"/>
      <c r="O8" s="18"/>
      <c r="P8" s="18"/>
      <c r="Q8" s="30"/>
    </row>
    <row r="9" spans="2:18" s="17" customFormat="1" x14ac:dyDescent="0.75">
      <c r="E9" s="30"/>
      <c r="F9" s="14"/>
      <c r="G9" s="27">
        <f>C12*C13*C14*C16</f>
        <v>-2.5487999999999995</v>
      </c>
      <c r="H9" s="18"/>
      <c r="I9" s="14"/>
      <c r="J9" s="14"/>
      <c r="L9" s="30"/>
      <c r="M9" s="14"/>
      <c r="N9" s="27">
        <f>C12*C13*SQRT(2)*C14*C16</f>
        <v>-3.6045475277765449</v>
      </c>
      <c r="O9" s="18"/>
      <c r="P9" s="14"/>
      <c r="Q9" s="14"/>
    </row>
    <row r="10" spans="2:18" s="17" customFormat="1" x14ac:dyDescent="0.75">
      <c r="E10" s="30"/>
      <c r="F10" s="14"/>
      <c r="G10" s="14"/>
      <c r="H10" s="14"/>
      <c r="I10" s="14"/>
      <c r="J10" s="14"/>
      <c r="L10" s="30"/>
      <c r="M10" s="14"/>
      <c r="N10" s="14"/>
      <c r="O10" s="14"/>
      <c r="P10" s="14"/>
      <c r="Q10" s="14"/>
    </row>
    <row r="11" spans="2:18" s="17" customFormat="1" ht="33" x14ac:dyDescent="0.75">
      <c r="B11" s="26" t="s">
        <v>17</v>
      </c>
      <c r="C11" s="26"/>
      <c r="E11" s="30"/>
      <c r="F11" s="31" t="s">
        <v>20</v>
      </c>
      <c r="G11" s="27">
        <f>J6-G9</f>
        <v>6.2387999999999995</v>
      </c>
      <c r="H11" s="18"/>
      <c r="I11" s="18"/>
      <c r="J11" s="14"/>
      <c r="L11" s="30"/>
      <c r="M11" s="75" t="s">
        <v>33</v>
      </c>
      <c r="N11" s="27">
        <f>Q6-N9</f>
        <v>8.7345475277765452</v>
      </c>
      <c r="O11" s="18"/>
      <c r="P11" s="18"/>
      <c r="Q11" s="14"/>
    </row>
    <row r="12" spans="2:18" s="17" customFormat="1" ht="27.6" thickBot="1" x14ac:dyDescent="0.8">
      <c r="B12" s="20" t="s">
        <v>7</v>
      </c>
      <c r="C12" s="94">
        <v>2</v>
      </c>
      <c r="E12" s="30"/>
      <c r="F12" s="14"/>
      <c r="G12" s="18"/>
      <c r="H12" s="18"/>
      <c r="I12" s="18"/>
      <c r="J12" s="14"/>
      <c r="L12" s="30"/>
      <c r="M12" s="14"/>
      <c r="N12" s="18"/>
      <c r="O12" s="18"/>
      <c r="P12" s="18"/>
      <c r="Q12" s="14"/>
    </row>
    <row r="13" spans="2:18" s="17" customFormat="1" ht="27.6" thickBot="1" x14ac:dyDescent="0.8">
      <c r="B13" s="93"/>
      <c r="C13" s="96">
        <v>1.5</v>
      </c>
      <c r="E13" s="14"/>
      <c r="F13" s="14"/>
      <c r="G13" s="19"/>
      <c r="H13" s="19"/>
      <c r="I13" s="18"/>
      <c r="J13" s="14"/>
      <c r="L13" s="14"/>
      <c r="M13" s="14"/>
      <c r="N13" s="19"/>
      <c r="O13" s="19"/>
      <c r="P13" s="18"/>
      <c r="Q13" s="14"/>
    </row>
    <row r="14" spans="2:18" s="17" customFormat="1" ht="27.6" thickBot="1" x14ac:dyDescent="0.8">
      <c r="B14" s="93"/>
      <c r="C14" s="97">
        <v>1.2</v>
      </c>
      <c r="E14" s="14"/>
      <c r="F14" s="14"/>
      <c r="G14" s="72">
        <f>SQRT(G11)</f>
        <v>2.4977589955798378</v>
      </c>
      <c r="H14" s="19"/>
      <c r="I14" s="91" t="s">
        <v>32</v>
      </c>
      <c r="J14" s="14"/>
      <c r="L14" s="14"/>
      <c r="M14" s="14"/>
      <c r="N14" s="72">
        <f>SQRT(N11)</f>
        <v>2.9554267928298521</v>
      </c>
      <c r="O14" s="92" t="s">
        <v>34</v>
      </c>
      <c r="P14" s="14"/>
      <c r="Q14" s="14"/>
    </row>
    <row r="15" spans="2:18" s="17" customFormat="1" x14ac:dyDescent="0.75">
      <c r="B15" s="22"/>
      <c r="C15" s="95" t="s">
        <v>12</v>
      </c>
    </row>
    <row r="16" spans="2:18" s="4" customFormat="1" ht="27.6" customHeight="1" x14ac:dyDescent="0.75">
      <c r="B16" s="21" t="s">
        <v>22</v>
      </c>
      <c r="C16" s="70">
        <f>-0.708</f>
        <v>-0.70799999999999996</v>
      </c>
      <c r="D16" s="32" t="s">
        <v>31</v>
      </c>
    </row>
    <row r="17" spans="1:25" s="4" customFormat="1" ht="27.6" customHeight="1" x14ac:dyDescent="0.75"/>
    <row r="18" spans="1:25" ht="27.6" thickBot="1" x14ac:dyDescent="0.8">
      <c r="A18" s="1"/>
      <c r="B18" s="15"/>
      <c r="C18" s="1"/>
      <c r="D18" s="1"/>
      <c r="E18" s="1"/>
      <c r="F18" s="1"/>
      <c r="G18" s="1"/>
      <c r="H18" s="1"/>
      <c r="I18" s="15"/>
      <c r="J18" s="1"/>
      <c r="K18" s="1"/>
      <c r="L18" s="1"/>
      <c r="Q18" s="15"/>
      <c r="W18" s="4"/>
      <c r="X18" s="4"/>
    </row>
    <row r="19" spans="1:25" ht="39" thickBot="1" x14ac:dyDescent="1.1000000000000001">
      <c r="A19" s="112" t="s">
        <v>21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"/>
      <c r="V19" s="4"/>
      <c r="W19" s="4"/>
      <c r="X19" s="4"/>
      <c r="Y19" s="5"/>
    </row>
    <row r="20" spans="1:25" s="2" customFormat="1" ht="30.6" thickBot="1" x14ac:dyDescent="0.8">
      <c r="A20" s="51"/>
      <c r="B20" s="52" t="s">
        <v>4</v>
      </c>
      <c r="C20" s="52" t="s">
        <v>19</v>
      </c>
      <c r="D20" s="56"/>
      <c r="E20" s="36"/>
      <c r="F20" s="109" t="s">
        <v>8</v>
      </c>
      <c r="G20" s="110"/>
      <c r="H20" s="54"/>
      <c r="I20" s="111" t="s">
        <v>10</v>
      </c>
      <c r="J20" s="111"/>
      <c r="K20" s="55"/>
      <c r="L20" s="1"/>
      <c r="V20" s="4"/>
      <c r="W20" s="4"/>
      <c r="X20" s="4"/>
      <c r="Y20" s="6"/>
    </row>
    <row r="21" spans="1:25" ht="30.6" thickBot="1" x14ac:dyDescent="0.9">
      <c r="A21" s="49">
        <v>1</v>
      </c>
      <c r="B21" s="57" t="s">
        <v>28</v>
      </c>
      <c r="C21" s="87">
        <v>6.5</v>
      </c>
      <c r="D21" s="77" t="s">
        <v>1</v>
      </c>
      <c r="E21" s="38"/>
      <c r="F21" s="61" t="s">
        <v>44</v>
      </c>
      <c r="G21" s="40">
        <f>($C$24+($C$25*$C$26))/$C$26</f>
        <v>5.65</v>
      </c>
      <c r="H21" s="50" t="s">
        <v>13</v>
      </c>
      <c r="I21" s="61" t="s">
        <v>29</v>
      </c>
      <c r="J21" s="71">
        <f>$C$22</f>
        <v>2.4977589955798378</v>
      </c>
      <c r="K21" s="50" t="s">
        <v>13</v>
      </c>
      <c r="L21" s="1"/>
      <c r="V21" s="4"/>
      <c r="W21" s="4"/>
      <c r="X21" s="4"/>
      <c r="Y21" s="5"/>
    </row>
    <row r="22" spans="1:25" ht="30.6" thickBot="1" x14ac:dyDescent="0.9">
      <c r="A22" s="7">
        <v>2</v>
      </c>
      <c r="B22" s="58" t="s">
        <v>26</v>
      </c>
      <c r="C22" s="89">
        <f>G14</f>
        <v>2.4977589955798378</v>
      </c>
      <c r="D22" s="78" t="s">
        <v>35</v>
      </c>
      <c r="E22" s="38"/>
      <c r="F22" s="34" t="s">
        <v>45</v>
      </c>
      <c r="G22" s="46">
        <f>G21-$C$21</f>
        <v>-0.84999999999999964</v>
      </c>
      <c r="H22" s="43" t="s">
        <v>14</v>
      </c>
      <c r="I22" s="29" t="s">
        <v>46</v>
      </c>
      <c r="J22" s="23">
        <f>(J21+($C$25*$C$26))/$C$26</f>
        <v>6.6477589955798386</v>
      </c>
      <c r="K22" s="43" t="s">
        <v>14</v>
      </c>
      <c r="L22" s="1"/>
      <c r="V22" s="4"/>
      <c r="W22" s="4"/>
      <c r="X22" s="4"/>
      <c r="Y22" s="5"/>
    </row>
    <row r="23" spans="1:25" ht="30.6" thickBot="1" x14ac:dyDescent="0.9">
      <c r="A23" s="41">
        <v>3</v>
      </c>
      <c r="B23" s="58" t="s">
        <v>18</v>
      </c>
      <c r="C23" s="90">
        <f>N14</f>
        <v>2.9554267928298521</v>
      </c>
      <c r="D23" s="78" t="s">
        <v>36</v>
      </c>
      <c r="E23" s="38"/>
      <c r="F23" s="29" t="s">
        <v>39</v>
      </c>
      <c r="G23" s="33">
        <f>$C$28-G22</f>
        <v>72.849999999999994</v>
      </c>
      <c r="H23" s="43" t="s">
        <v>6</v>
      </c>
      <c r="I23" s="34" t="s">
        <v>47</v>
      </c>
      <c r="J23" s="42">
        <f>J22-$C$21</f>
        <v>0.14775899557983863</v>
      </c>
      <c r="K23" s="43" t="s">
        <v>6</v>
      </c>
      <c r="L23" s="1"/>
      <c r="X23" s="5"/>
      <c r="Y23" s="5"/>
    </row>
    <row r="24" spans="1:25" x14ac:dyDescent="0.75">
      <c r="A24" s="41">
        <v>4</v>
      </c>
      <c r="B24" s="76" t="s">
        <v>0</v>
      </c>
      <c r="C24" s="88">
        <v>1.5</v>
      </c>
      <c r="D24" s="78" t="s">
        <v>2</v>
      </c>
      <c r="E24" s="37"/>
      <c r="F24" s="102"/>
      <c r="G24" s="98"/>
      <c r="H24" s="47"/>
      <c r="I24" s="29" t="s">
        <v>38</v>
      </c>
      <c r="J24" s="24">
        <f>$C$28-J23</f>
        <v>71.852241004420165</v>
      </c>
      <c r="K24" s="44"/>
      <c r="L24" s="1"/>
    </row>
    <row r="25" spans="1:25" x14ac:dyDescent="0.75">
      <c r="A25" s="41">
        <v>5</v>
      </c>
      <c r="B25" s="76" t="s">
        <v>27</v>
      </c>
      <c r="C25" s="80">
        <v>4.1500000000000004</v>
      </c>
      <c r="D25" s="78" t="s">
        <v>23</v>
      </c>
      <c r="E25" s="37"/>
      <c r="F25" s="102"/>
      <c r="G25" s="98"/>
      <c r="H25" s="47"/>
      <c r="I25" s="102"/>
      <c r="J25" s="103"/>
      <c r="K25" s="44"/>
      <c r="L25" s="1"/>
    </row>
    <row r="26" spans="1:25" ht="27.6" thickBot="1" x14ac:dyDescent="0.8">
      <c r="A26" s="62">
        <v>6</v>
      </c>
      <c r="B26" s="63" t="s">
        <v>25</v>
      </c>
      <c r="C26" s="81">
        <v>1</v>
      </c>
      <c r="D26" s="79" t="s">
        <v>24</v>
      </c>
      <c r="E26" s="64"/>
      <c r="F26" s="113"/>
      <c r="G26" s="114"/>
      <c r="H26" s="65"/>
      <c r="I26" s="113"/>
      <c r="J26" s="115"/>
      <c r="K26" s="66"/>
      <c r="L26" s="1"/>
    </row>
    <row r="27" spans="1:25" ht="27.6" thickBot="1" x14ac:dyDescent="0.8">
      <c r="A27" s="104" t="s">
        <v>37</v>
      </c>
      <c r="B27" s="105"/>
      <c r="C27" s="105"/>
      <c r="D27" s="106"/>
      <c r="E27" s="53"/>
      <c r="F27" s="100" t="s">
        <v>9</v>
      </c>
      <c r="G27" s="99"/>
      <c r="H27" s="54"/>
      <c r="I27" s="100" t="s">
        <v>11</v>
      </c>
      <c r="J27" s="101"/>
      <c r="K27" s="55"/>
      <c r="L27" s="1"/>
    </row>
    <row r="28" spans="1:25" ht="27" customHeight="1" thickBot="1" x14ac:dyDescent="0.8">
      <c r="A28" s="67"/>
      <c r="B28" s="68" t="s">
        <v>3</v>
      </c>
      <c r="C28" s="84">
        <v>72</v>
      </c>
      <c r="D28" s="82"/>
      <c r="E28" s="69"/>
      <c r="F28" s="85" t="s">
        <v>30</v>
      </c>
      <c r="G28" s="71">
        <f>$C$23</f>
        <v>2.9554267928298521</v>
      </c>
      <c r="H28" s="50" t="s">
        <v>13</v>
      </c>
      <c r="I28" s="61" t="s">
        <v>30</v>
      </c>
      <c r="J28" s="71">
        <f>$C$22</f>
        <v>2.4977589955798378</v>
      </c>
      <c r="K28" s="50" t="s">
        <v>13</v>
      </c>
      <c r="L28" s="1"/>
    </row>
    <row r="29" spans="1:25" ht="27.45" customHeight="1" thickBot="1" x14ac:dyDescent="0.8">
      <c r="A29" s="8"/>
      <c r="B29" s="9" t="s">
        <v>40</v>
      </c>
      <c r="C29" s="83">
        <f>G22</f>
        <v>-0.84999999999999964</v>
      </c>
      <c r="D29" s="59" t="s">
        <v>16</v>
      </c>
      <c r="E29" s="38"/>
      <c r="F29" s="86" t="s">
        <v>46</v>
      </c>
      <c r="G29" s="23">
        <f>(G28+($C$25*$C$26))/$C$26</f>
        <v>7.1054267928298529</v>
      </c>
      <c r="H29" s="43" t="s">
        <v>14</v>
      </c>
      <c r="I29" s="29" t="s">
        <v>46</v>
      </c>
      <c r="J29" s="23">
        <f>(J28+($C$25*$C$26))/$C$26</f>
        <v>6.6477589955798386</v>
      </c>
      <c r="K29" s="43" t="s">
        <v>14</v>
      </c>
      <c r="L29" s="1"/>
    </row>
    <row r="30" spans="1:25" ht="27.45" customHeight="1" thickBot="1" x14ac:dyDescent="0.8">
      <c r="A30" s="8"/>
      <c r="B30" s="9" t="s">
        <v>41</v>
      </c>
      <c r="C30" s="10">
        <f>J23</f>
        <v>0.14775899557983863</v>
      </c>
      <c r="D30" s="59"/>
      <c r="E30" s="38"/>
      <c r="F30" s="86" t="s">
        <v>47</v>
      </c>
      <c r="G30" s="42">
        <f>G29-$C$21</f>
        <v>0.6054267928298529</v>
      </c>
      <c r="H30" s="43" t="s">
        <v>6</v>
      </c>
      <c r="I30" s="34" t="s">
        <v>47</v>
      </c>
      <c r="J30" s="42">
        <f>J29-$C$21</f>
        <v>0.14775899557983863</v>
      </c>
      <c r="K30" s="43" t="s">
        <v>6</v>
      </c>
      <c r="L30" s="1"/>
    </row>
    <row r="31" spans="1:25" ht="27" customHeight="1" x14ac:dyDescent="0.75">
      <c r="A31" s="8"/>
      <c r="B31" s="9" t="s">
        <v>42</v>
      </c>
      <c r="C31" s="10">
        <f>G30</f>
        <v>0.6054267928298529</v>
      </c>
      <c r="D31" s="59" t="s">
        <v>5</v>
      </c>
      <c r="E31" s="38"/>
      <c r="F31" s="86" t="s">
        <v>38</v>
      </c>
      <c r="G31" s="24">
        <f>$C$28-G30</f>
        <v>71.39457320717014</v>
      </c>
      <c r="H31" s="43" t="s">
        <v>15</v>
      </c>
      <c r="I31" s="29" t="s">
        <v>38</v>
      </c>
      <c r="J31" s="24">
        <f>$C$28-J30</f>
        <v>71.852241004420165</v>
      </c>
      <c r="K31" s="44"/>
      <c r="L31" s="1"/>
    </row>
    <row r="32" spans="1:25" ht="27.45" customHeight="1" thickBot="1" x14ac:dyDescent="0.8">
      <c r="A32" s="11"/>
      <c r="B32" s="12" t="s">
        <v>43</v>
      </c>
      <c r="C32" s="13">
        <f>J30</f>
        <v>0.14775899557983863</v>
      </c>
      <c r="D32" s="60"/>
      <c r="E32" s="39"/>
      <c r="F32" s="73"/>
      <c r="G32" s="74"/>
      <c r="H32" s="48"/>
      <c r="I32" s="35"/>
      <c r="J32" s="25"/>
      <c r="K32" s="45"/>
      <c r="L32" s="1"/>
    </row>
    <row r="33" spans="3:14" x14ac:dyDescent="0.75">
      <c r="F33" s="4"/>
      <c r="I33" s="4"/>
      <c r="K33" s="1"/>
      <c r="L33" s="1"/>
    </row>
    <row r="34" spans="3:14" x14ac:dyDescent="0.75">
      <c r="C34" s="4" t="s">
        <v>49</v>
      </c>
      <c r="F34" s="4"/>
      <c r="I34" s="4"/>
      <c r="K34" s="1"/>
      <c r="L34" s="1"/>
    </row>
    <row r="35" spans="3:14" x14ac:dyDescent="0.75">
      <c r="C35" s="4" t="s">
        <v>48</v>
      </c>
      <c r="F35" s="4"/>
      <c r="I35" s="4"/>
      <c r="K35" s="1"/>
      <c r="L35" s="1"/>
    </row>
    <row r="36" spans="3:14" x14ac:dyDescent="0.75">
      <c r="F36" s="4"/>
    </row>
    <row r="37" spans="3:14" x14ac:dyDescent="0.75">
      <c r="F37" s="4"/>
    </row>
    <row r="38" spans="3:14" x14ac:dyDescent="0.75">
      <c r="F38" s="4"/>
    </row>
    <row r="40" spans="3:14" x14ac:dyDescent="0.75">
      <c r="F40" s="4"/>
      <c r="N40" s="3"/>
    </row>
    <row r="42" spans="3:14" x14ac:dyDescent="0.75">
      <c r="F42" s="4"/>
    </row>
    <row r="44" spans="3:14" x14ac:dyDescent="0.75">
      <c r="F44" s="4"/>
    </row>
  </sheetData>
  <mergeCells count="15">
    <mergeCell ref="O6:O7"/>
    <mergeCell ref="Q6:Q7"/>
    <mergeCell ref="F25:G25"/>
    <mergeCell ref="I25:J25"/>
    <mergeCell ref="F26:G26"/>
    <mergeCell ref="I26:J26"/>
    <mergeCell ref="A27:D27"/>
    <mergeCell ref="F27:G27"/>
    <mergeCell ref="I27:J27"/>
    <mergeCell ref="H6:H7"/>
    <mergeCell ref="J6:J7"/>
    <mergeCell ref="A19:K19"/>
    <mergeCell ref="F20:G20"/>
    <mergeCell ref="I20:J20"/>
    <mergeCell ref="F24:G24"/>
  </mergeCells>
  <pageMargins left="0.37" right="0.17" top="0.37" bottom="0.17" header="0.3" footer="0.3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135องศา </vt:lpstr>
      <vt:lpstr>'135องศา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Utain  Boonmee</dc:creator>
  <cp:lastModifiedBy>nsddopa1@forthcorp.onmicrosoft.com</cp:lastModifiedBy>
  <cp:lastPrinted>2023-12-04T10:04:06Z</cp:lastPrinted>
  <dcterms:created xsi:type="dcterms:W3CDTF">2023-09-06T02:57:16Z</dcterms:created>
  <dcterms:modified xsi:type="dcterms:W3CDTF">2026-09-18T03:24:27Z</dcterms:modified>
</cp:coreProperties>
</file>